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Programmes\TFM\ARS_Maintenance\context\"/>
    </mc:Choice>
  </mc:AlternateContent>
  <xr:revisionPtr revIDLastSave="0" documentId="8_{3977E032-C51F-4FDB-9D97-52252A660D98}" xr6:coauthVersionLast="47" xr6:coauthVersionMax="47" xr10:uidLastSave="{00000000-0000-0000-0000-000000000000}"/>
  <bookViews>
    <workbookView xWindow="-120" yWindow="-120" windowWidth="20730" windowHeight="11160" tabRatio="787" activeTab="1" xr2:uid="{00000000-000D-0000-FFFF-FFFF00000000}"/>
  </bookViews>
  <sheets>
    <sheet name="LGR CCEE CSR" sheetId="55" r:id="rId1"/>
    <sheet name="LGR RESUMEN CCEE CSR" sheetId="37" r:id="rId2"/>
    <sheet name="LGR CCEE" sheetId="12" r:id="rId3"/>
    <sheet name="LGR RESUMEN CCEE" sheetId="11" r:id="rId4"/>
    <sheet name="LGR LOCS" sheetId="14" r:id="rId5"/>
    <sheet name="LGR RESUMEN LOCS" sheetId="15" r:id="rId6"/>
    <sheet name="LGR CCRR" sheetId="42" r:id="rId7"/>
    <sheet name="LGR RESUMEN CCRR" sheetId="43" r:id="rId8"/>
    <sheet name="LGR LOCS CNR" sheetId="45" r:id="rId9"/>
    <sheet name="LGR RESUMEN LOCS CNR" sheetId="47" r:id="rId10"/>
    <sheet name="LGR CCRR CNR" sheetId="48" r:id="rId11"/>
    <sheet name="LGR RESUMEN CCRR CNR" sheetId="49" r:id="rId12"/>
    <sheet name="LGR CCMM NOHAB" sheetId="28" r:id="rId13"/>
    <sheet name="LGR RESUMEN CCMM NOHAB" sheetId="29" r:id="rId14"/>
    <sheet name="LGR VAGONES" sheetId="50" r:id="rId15"/>
    <sheet name="LGR RESUMEN VAGONES" sheetId="51" r:id="rId16"/>
    <sheet name="LGR MR AUXILIAR" sheetId="53" r:id="rId17"/>
    <sheet name="LGR RESUMEN MR AUXILIAR" sheetId="54" r:id="rId18"/>
    <sheet name="Anexo I" sheetId="56" r:id="rId19"/>
  </sheets>
  <definedNames>
    <definedName name="_xlnm._FilterDatabase" localSheetId="18" hidden="1">'Anexo I'!$A$3:$E$121</definedName>
    <definedName name="_xlnm._FilterDatabase" localSheetId="0" hidden="1">'LGR CCEE CSR'!$A$9:$S$96</definedName>
    <definedName name="_xlnm._FilterDatabase" localSheetId="10" hidden="1">'LGR CCRR CNR'!$A$9:$S$105</definedName>
    <definedName name="_xlnm._FilterDatabase" localSheetId="16" hidden="1">'LGR MR AUXILIAR'!$A$9:$S$17</definedName>
    <definedName name="_xlnm._FilterDatabase" localSheetId="1" hidden="1">'LGR RESUMEN CCEE CSR'!#REF!</definedName>
    <definedName name="_xlnm._FilterDatabase" localSheetId="14" hidden="1">'LGR VAGONES'!$A$9:$S$28</definedName>
    <definedName name="_xlnm.Print_Titles" localSheetId="18">'Anexo I'!$2:$3</definedName>
    <definedName name="_xlnm.Print_Titles" localSheetId="0">'LGR CCEE CSR'!$1:$9</definedName>
    <definedName name="_xlnm.Print_Titles" localSheetId="6">'LGR CCRR'!$1:$9</definedName>
    <definedName name="_xlnm.Print_Titles" localSheetId="10">'LGR CCRR CNR'!$1:$9</definedName>
  </definedNames>
  <calcPr calcId="191029"/>
</workbook>
</file>

<file path=xl/calcChain.xml><?xml version="1.0" encoding="utf-8"?>
<calcChain xmlns="http://schemas.openxmlformats.org/spreadsheetml/2006/main">
  <c r="R73" i="42" l="1"/>
  <c r="Q73" i="42"/>
  <c r="P73" i="42"/>
  <c r="O73" i="42"/>
  <c r="N73" i="42"/>
  <c r="M73" i="42"/>
  <c r="L73" i="42"/>
  <c r="K73" i="42"/>
  <c r="J73" i="42"/>
  <c r="I73" i="42"/>
  <c r="H18" i="45"/>
  <c r="I18" i="45"/>
  <c r="J18" i="45"/>
  <c r="K18" i="45"/>
  <c r="L18" i="45"/>
  <c r="M18" i="45"/>
  <c r="N18" i="45"/>
  <c r="O18" i="45"/>
  <c r="P18" i="45"/>
  <c r="Q18" i="45"/>
  <c r="R18" i="45"/>
  <c r="S18" i="45"/>
  <c r="H19" i="45"/>
  <c r="I19" i="45"/>
  <c r="J19" i="45"/>
  <c r="K19" i="45"/>
  <c r="L19" i="45"/>
  <c r="M19" i="45"/>
  <c r="N19" i="45"/>
  <c r="O19" i="45"/>
  <c r="P19" i="45"/>
  <c r="Q19" i="45"/>
  <c r="R19" i="45"/>
  <c r="S19" i="45"/>
  <c r="H20" i="45"/>
  <c r="I20" i="45"/>
  <c r="J20" i="45"/>
  <c r="K20" i="45"/>
  <c r="L20" i="45"/>
  <c r="M20" i="45"/>
  <c r="N20" i="45"/>
  <c r="O20" i="45"/>
  <c r="P20" i="45"/>
  <c r="Q20" i="45"/>
  <c r="R20" i="45"/>
  <c r="S20" i="45"/>
  <c r="H21" i="45"/>
  <c r="I21" i="45"/>
  <c r="J21" i="45"/>
  <c r="K21" i="45"/>
  <c r="L21" i="45"/>
  <c r="M21" i="45"/>
  <c r="N21" i="45"/>
  <c r="O21" i="45"/>
  <c r="P21" i="45"/>
  <c r="Q21" i="45"/>
  <c r="R21" i="45"/>
  <c r="S21" i="45"/>
  <c r="H22" i="45"/>
  <c r="I22" i="45"/>
  <c r="J22" i="45"/>
  <c r="K22" i="45"/>
  <c r="L22" i="45"/>
  <c r="M22" i="45"/>
  <c r="N22" i="45"/>
  <c r="O22" i="45"/>
  <c r="P22" i="45"/>
  <c r="Q22" i="45"/>
  <c r="R22" i="45"/>
  <c r="S22" i="45"/>
  <c r="H23" i="45"/>
  <c r="I23" i="45"/>
  <c r="J23" i="45"/>
  <c r="K23" i="45"/>
  <c r="L23" i="45"/>
  <c r="M23" i="45"/>
  <c r="N23" i="45"/>
  <c r="O23" i="45"/>
  <c r="P23" i="45"/>
  <c r="Q23" i="45"/>
  <c r="R23" i="45"/>
  <c r="S23" i="45"/>
  <c r="H24" i="45"/>
  <c r="I24" i="45"/>
  <c r="J24" i="45"/>
  <c r="K24" i="45"/>
  <c r="L24" i="45"/>
  <c r="M24" i="45"/>
  <c r="N24" i="45"/>
  <c r="O24" i="45"/>
  <c r="P24" i="45"/>
  <c r="Q24" i="45"/>
  <c r="R24" i="45"/>
  <c r="S24" i="45"/>
  <c r="H25" i="45"/>
  <c r="I25" i="45"/>
  <c r="J25" i="45"/>
  <c r="K25" i="45"/>
  <c r="L25" i="45"/>
  <c r="M25" i="45"/>
  <c r="N25" i="45"/>
  <c r="O25" i="45"/>
  <c r="P25" i="45"/>
  <c r="Q25" i="45"/>
  <c r="R25" i="45"/>
  <c r="S25" i="45"/>
  <c r="T25" i="45" l="1"/>
  <c r="T24" i="45"/>
  <c r="T20" i="45"/>
  <c r="T21" i="45"/>
  <c r="T22" i="45"/>
  <c r="T18" i="45"/>
  <c r="T23" i="45"/>
  <c r="T19" i="45"/>
  <c r="S34" i="50" l="1"/>
  <c r="R34" i="50"/>
  <c r="Q34" i="50"/>
  <c r="P34" i="50"/>
  <c r="O34" i="50"/>
  <c r="N34" i="50"/>
  <c r="M34" i="50"/>
  <c r="L34" i="50"/>
  <c r="K34" i="50"/>
  <c r="J34" i="50"/>
  <c r="I34" i="50"/>
  <c r="H34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T33" i="50" l="1"/>
  <c r="T34" i="50"/>
  <c r="H8" i="12"/>
  <c r="H8" i="14" s="1"/>
  <c r="H8" i="42" s="1"/>
  <c r="H8" i="45" s="1"/>
  <c r="H8" i="48" s="1"/>
  <c r="H8" i="28" s="1"/>
  <c r="H8" i="50" s="1"/>
  <c r="H8" i="53" s="1"/>
  <c r="S73" i="42" l="1"/>
  <c r="H73" i="42"/>
  <c r="S72" i="42"/>
  <c r="R72" i="42"/>
  <c r="Q72" i="42"/>
  <c r="P72" i="42"/>
  <c r="O72" i="42"/>
  <c r="N72" i="42"/>
  <c r="M72" i="42"/>
  <c r="L72" i="42"/>
  <c r="K72" i="42"/>
  <c r="J72" i="42"/>
  <c r="I72" i="42"/>
  <c r="I74" i="42" s="1"/>
  <c r="H72" i="42"/>
  <c r="M74" i="42" l="1"/>
  <c r="Q74" i="42"/>
  <c r="J74" i="42"/>
  <c r="N74" i="42"/>
  <c r="R74" i="42"/>
  <c r="K74" i="42"/>
  <c r="O74" i="42"/>
  <c r="S74" i="42"/>
  <c r="H74" i="42"/>
  <c r="L74" i="42"/>
  <c r="P74" i="42"/>
  <c r="T73" i="42"/>
  <c r="T74" i="42" l="1"/>
  <c r="A8" i="12" l="1"/>
  <c r="A8" i="42" s="1"/>
  <c r="A8" i="45" s="1"/>
  <c r="A8" i="48" s="1"/>
  <c r="A8" i="28" s="1"/>
  <c r="A8" i="50" s="1"/>
  <c r="A8" i="53" s="1"/>
  <c r="G3" i="12" l="1"/>
  <c r="AA20" i="15" l="1"/>
  <c r="AA19" i="15"/>
  <c r="AA23" i="15"/>
  <c r="AA22" i="15"/>
  <c r="S23" i="53" l="1"/>
  <c r="R23" i="53"/>
  <c r="Q23" i="53"/>
  <c r="P23" i="53"/>
  <c r="O23" i="53"/>
  <c r="N23" i="53"/>
  <c r="M23" i="53"/>
  <c r="L23" i="53"/>
  <c r="K23" i="53"/>
  <c r="J23" i="53"/>
  <c r="I23" i="53"/>
  <c r="H23" i="53"/>
  <c r="AB13" i="54"/>
  <c r="AA13" i="54"/>
  <c r="T23" i="53" l="1"/>
  <c r="AA16" i="15"/>
  <c r="S28" i="14"/>
  <c r="R28" i="14"/>
  <c r="Q28" i="14"/>
  <c r="P28" i="14"/>
  <c r="O28" i="14"/>
  <c r="N28" i="14"/>
  <c r="M28" i="14"/>
  <c r="L28" i="14"/>
  <c r="K28" i="14"/>
  <c r="J28" i="14"/>
  <c r="I28" i="14"/>
  <c r="S29" i="14"/>
  <c r="S30" i="14" s="1"/>
  <c r="R29" i="14"/>
  <c r="Q29" i="14"/>
  <c r="Q30" i="14" s="1"/>
  <c r="P29" i="14"/>
  <c r="P30" i="14" s="1"/>
  <c r="O29" i="14"/>
  <c r="O30" i="14" s="1"/>
  <c r="N29" i="14"/>
  <c r="M29" i="14"/>
  <c r="M30" i="14" s="1"/>
  <c r="L29" i="14"/>
  <c r="K29" i="14"/>
  <c r="K30" i="14" s="1"/>
  <c r="J29" i="14"/>
  <c r="I29" i="14"/>
  <c r="I30" i="14" s="1"/>
  <c r="H29" i="14"/>
  <c r="H28" i="14"/>
  <c r="N30" i="14" l="1"/>
  <c r="R30" i="14"/>
  <c r="H30" i="14"/>
  <c r="L30" i="14"/>
  <c r="J30" i="14"/>
  <c r="T29" i="14"/>
  <c r="S31" i="14" l="1"/>
  <c r="R31" i="14"/>
  <c r="Q31" i="14"/>
  <c r="P31" i="14"/>
  <c r="O31" i="14"/>
  <c r="N31" i="14"/>
  <c r="M31" i="14"/>
  <c r="L31" i="14"/>
  <c r="K31" i="14"/>
  <c r="J31" i="14"/>
  <c r="I31" i="14"/>
  <c r="H31" i="14"/>
  <c r="AB19" i="47" l="1"/>
  <c r="AA19" i="47"/>
  <c r="S95" i="55" l="1"/>
  <c r="R95" i="55"/>
  <c r="Q95" i="55"/>
  <c r="P95" i="55"/>
  <c r="O95" i="55"/>
  <c r="N95" i="55"/>
  <c r="M95" i="55"/>
  <c r="L95" i="55"/>
  <c r="K95" i="55"/>
  <c r="J95" i="55"/>
  <c r="I95" i="55"/>
  <c r="H95" i="55"/>
  <c r="H94" i="55" l="1"/>
  <c r="H96" i="55"/>
  <c r="I94" i="55"/>
  <c r="J94" i="55"/>
  <c r="K94" i="55"/>
  <c r="L94" i="55"/>
  <c r="M94" i="55"/>
  <c r="N94" i="55"/>
  <c r="O94" i="55"/>
  <c r="P94" i="55"/>
  <c r="Q94" i="55"/>
  <c r="R94" i="55"/>
  <c r="S94" i="55"/>
  <c r="S96" i="55"/>
  <c r="R96" i="55"/>
  <c r="Q96" i="55"/>
  <c r="P96" i="55"/>
  <c r="O96" i="55"/>
  <c r="N96" i="55"/>
  <c r="M96" i="55"/>
  <c r="L96" i="55"/>
  <c r="K96" i="55"/>
  <c r="J96" i="55"/>
  <c r="I96" i="55"/>
  <c r="T95" i="55" l="1"/>
  <c r="T96" i="55"/>
  <c r="T94" i="55"/>
  <c r="AA14" i="51" l="1"/>
  <c r="AA13" i="51"/>
  <c r="S22" i="53" l="1"/>
  <c r="R22" i="53"/>
  <c r="Q22" i="53"/>
  <c r="P22" i="53"/>
  <c r="O22" i="53"/>
  <c r="N22" i="53"/>
  <c r="M22" i="53"/>
  <c r="L22" i="53"/>
  <c r="K22" i="53"/>
  <c r="J22" i="53"/>
  <c r="I22" i="53"/>
  <c r="H22" i="53"/>
  <c r="AB12" i="54"/>
  <c r="AA12" i="54"/>
  <c r="T22" i="53" l="1"/>
  <c r="R32" i="14" l="1"/>
  <c r="Q32" i="14"/>
  <c r="P32" i="14"/>
  <c r="O32" i="14"/>
  <c r="N32" i="14"/>
  <c r="M32" i="14"/>
  <c r="L32" i="14"/>
  <c r="K32" i="14"/>
  <c r="J32" i="14"/>
  <c r="I32" i="14"/>
  <c r="H32" i="14"/>
  <c r="S32" i="14"/>
  <c r="G3" i="53" l="1"/>
  <c r="AA15" i="51"/>
  <c r="AA12" i="51"/>
  <c r="S35" i="50"/>
  <c r="R35" i="50"/>
  <c r="Q35" i="50"/>
  <c r="P35" i="50"/>
  <c r="O35" i="50"/>
  <c r="N35" i="50"/>
  <c r="M35" i="50"/>
  <c r="L35" i="50"/>
  <c r="K35" i="50"/>
  <c r="J35" i="50"/>
  <c r="I35" i="50"/>
  <c r="H35" i="50"/>
  <c r="G3" i="50" l="1"/>
  <c r="G3" i="45"/>
  <c r="G3" i="48"/>
  <c r="G3" i="42"/>
  <c r="G3" i="28"/>
  <c r="T35" i="50"/>
  <c r="T32" i="50"/>
  <c r="AB16" i="49"/>
  <c r="AA16" i="49"/>
  <c r="AB15" i="49"/>
  <c r="AA15" i="49"/>
  <c r="AB14" i="49"/>
  <c r="AA14" i="49"/>
  <c r="AB13" i="49"/>
  <c r="AA13" i="49"/>
  <c r="AB12" i="49"/>
  <c r="AA12" i="49"/>
  <c r="S104" i="48"/>
  <c r="R104" i="48"/>
  <c r="Q104" i="48"/>
  <c r="P104" i="48"/>
  <c r="O104" i="48"/>
  <c r="N104" i="48"/>
  <c r="M104" i="48"/>
  <c r="L104" i="48"/>
  <c r="K104" i="48"/>
  <c r="J104" i="48"/>
  <c r="I104" i="48"/>
  <c r="H104" i="48"/>
  <c r="S103" i="48"/>
  <c r="R103" i="48"/>
  <c r="Q103" i="48"/>
  <c r="P103" i="48"/>
  <c r="O103" i="48"/>
  <c r="N103" i="48"/>
  <c r="M103" i="48"/>
  <c r="L103" i="48"/>
  <c r="K103" i="48"/>
  <c r="J103" i="48"/>
  <c r="I103" i="48"/>
  <c r="H103" i="48"/>
  <c r="S101" i="48"/>
  <c r="S102" i="48" s="1"/>
  <c r="R101" i="48"/>
  <c r="R102" i="48" s="1"/>
  <c r="Q101" i="48"/>
  <c r="Q102" i="48" s="1"/>
  <c r="P101" i="48"/>
  <c r="P102" i="48" s="1"/>
  <c r="O101" i="48"/>
  <c r="O102" i="48" s="1"/>
  <c r="N101" i="48"/>
  <c r="N102" i="48" s="1"/>
  <c r="M101" i="48"/>
  <c r="M102" i="48" s="1"/>
  <c r="L101" i="48"/>
  <c r="L102" i="48" s="1"/>
  <c r="K101" i="48"/>
  <c r="K102" i="48" s="1"/>
  <c r="J101" i="48"/>
  <c r="J102" i="48" s="1"/>
  <c r="I101" i="48"/>
  <c r="I102" i="48" s="1"/>
  <c r="H101" i="48"/>
  <c r="H102" i="48" s="1"/>
  <c r="T102" i="48" l="1"/>
  <c r="T101" i="48"/>
  <c r="T104" i="48"/>
  <c r="T103" i="48"/>
  <c r="AB20" i="47"/>
  <c r="AA20" i="47"/>
  <c r="AB18" i="47"/>
  <c r="AA18" i="47"/>
  <c r="AB17" i="47"/>
  <c r="AA17" i="47"/>
  <c r="AB16" i="47"/>
  <c r="AA16" i="47"/>
  <c r="AB15" i="47"/>
  <c r="AA15" i="47"/>
  <c r="AB14" i="47"/>
  <c r="AA14" i="47"/>
  <c r="AB13" i="47"/>
  <c r="AA13" i="47"/>
  <c r="AB12" i="47"/>
  <c r="AA12" i="47"/>
  <c r="AB16" i="43" l="1"/>
  <c r="AA16" i="43"/>
  <c r="AB15" i="43"/>
  <c r="AA15" i="43"/>
  <c r="AB14" i="43"/>
  <c r="AA14" i="43"/>
  <c r="AB13" i="43"/>
  <c r="AA13" i="43"/>
  <c r="AB12" i="43"/>
  <c r="AA12" i="43"/>
  <c r="S75" i="42"/>
  <c r="R75" i="42"/>
  <c r="Q75" i="42"/>
  <c r="P75" i="42"/>
  <c r="O75" i="42"/>
  <c r="N75" i="42"/>
  <c r="M75" i="42"/>
  <c r="L75" i="42"/>
  <c r="K75" i="42"/>
  <c r="J75" i="42"/>
  <c r="I75" i="42"/>
  <c r="H75" i="42"/>
  <c r="S76" i="42"/>
  <c r="R76" i="42"/>
  <c r="Q76" i="42"/>
  <c r="P76" i="42"/>
  <c r="O76" i="42"/>
  <c r="N76" i="42"/>
  <c r="M76" i="42"/>
  <c r="L76" i="42"/>
  <c r="K76" i="42"/>
  <c r="J76" i="42"/>
  <c r="I76" i="42"/>
  <c r="T75" i="42" l="1"/>
  <c r="T72" i="42"/>
  <c r="H76" i="42"/>
  <c r="T76" i="42" s="1"/>
  <c r="AB17" i="37" l="1"/>
  <c r="AA17" i="37"/>
  <c r="AB16" i="37"/>
  <c r="AA16" i="37"/>
  <c r="AB15" i="37"/>
  <c r="AA15" i="37"/>
  <c r="AB14" i="37"/>
  <c r="AA14" i="37"/>
  <c r="AB13" i="37"/>
  <c r="AA13" i="37"/>
  <c r="AB12" i="37"/>
  <c r="AA12" i="37"/>
  <c r="AB14" i="29" l="1"/>
  <c r="AA14" i="29"/>
  <c r="AB13" i="29"/>
  <c r="AA13" i="29"/>
  <c r="AB12" i="29"/>
  <c r="AA12" i="29"/>
  <c r="S15" i="28"/>
  <c r="R15" i="28"/>
  <c r="Q15" i="28"/>
  <c r="P15" i="28"/>
  <c r="O15" i="28"/>
  <c r="N15" i="28"/>
  <c r="M15" i="28"/>
  <c r="L15" i="28"/>
  <c r="K15" i="28"/>
  <c r="J15" i="28"/>
  <c r="I15" i="28"/>
  <c r="H15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T15" i="28" l="1"/>
  <c r="T13" i="28"/>
  <c r="T14" i="28"/>
  <c r="AA14" i="11"/>
  <c r="AA13" i="11"/>
  <c r="A8" i="14" l="1"/>
  <c r="G3" i="14" l="1"/>
  <c r="AB16" i="15" l="1"/>
  <c r="AB15" i="15"/>
  <c r="AB14" i="15"/>
  <c r="AB13" i="15"/>
  <c r="AB12" i="15"/>
  <c r="AB14" i="11"/>
  <c r="AB13" i="11"/>
  <c r="AB12" i="11"/>
  <c r="H37" i="12"/>
  <c r="I37" i="12"/>
  <c r="J37" i="12"/>
  <c r="K37" i="12"/>
  <c r="L37" i="12"/>
  <c r="M37" i="12"/>
  <c r="N37" i="12"/>
  <c r="O37" i="12"/>
  <c r="P37" i="12"/>
  <c r="Q37" i="12"/>
  <c r="R37" i="12"/>
  <c r="S37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AA15" i="15"/>
  <c r="AA14" i="15"/>
  <c r="AA13" i="15"/>
  <c r="AA12" i="15"/>
  <c r="AA12" i="11"/>
  <c r="T36" i="12" l="1"/>
  <c r="T37" i="12"/>
  <c r="T31" i="14" l="1"/>
  <c r="T28" i="14"/>
  <c r="T30" i="14" s="1"/>
  <c r="T32" i="14"/>
</calcChain>
</file>

<file path=xl/sharedStrings.xml><?xml version="1.0" encoding="utf-8"?>
<sst xmlns="http://schemas.openxmlformats.org/spreadsheetml/2006/main" count="2457" uniqueCount="515">
  <si>
    <t>Avance de Mantenimiento Preventivo</t>
  </si>
  <si>
    <t>Km.</t>
  </si>
  <si>
    <t>Fecha</t>
  </si>
  <si>
    <t>Tipo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</si>
  <si>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</si>
  <si>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</si>
  <si>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</si>
  <si>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</si>
  <si>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</si>
  <si>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</si>
  <si>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</si>
  <si>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</si>
  <si>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</si>
  <si>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</si>
  <si>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</si>
  <si>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ENE.</t>
  </si>
  <si>
    <t>MES de:</t>
  </si>
  <si>
    <t>TIPO DE VEHÍCULO:</t>
  </si>
  <si>
    <t>(a)___________________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</si>
  <si>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</si>
  <si>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</si>
  <si>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</si>
  <si>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</si>
  <si>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</si>
  <si>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</si>
  <si>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</si>
  <si>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</si>
  <si>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</si>
  <si>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</si>
  <si>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</si>
  <si>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</si>
  <si>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Prog.</t>
  </si>
  <si>
    <t>Realiz.</t>
  </si>
  <si>
    <t>AVANCE DE TAREAS REALIZADAS AL MES DE:</t>
  </si>
  <si>
    <t>Tipo de Revisión</t>
  </si>
  <si>
    <t>CANTIDAD DE INTERVENCIONES</t>
  </si>
  <si>
    <t>Número</t>
  </si>
  <si>
    <t>Planilla Tipo: MRAM (2)</t>
  </si>
  <si>
    <t>Marca-Modelo</t>
  </si>
  <si>
    <t>Período</t>
  </si>
  <si>
    <t>Última R.G.</t>
  </si>
  <si>
    <t>Última Revisión</t>
  </si>
  <si>
    <t>Reparación General</t>
  </si>
  <si>
    <t>CNR</t>
  </si>
  <si>
    <t>Coche Remolcado</t>
  </si>
  <si>
    <t>CSR</t>
  </si>
  <si>
    <t>Reparación Numeral</t>
  </si>
  <si>
    <t>G.M. G22 CW</t>
  </si>
  <si>
    <t>Reparación Parcial</t>
  </si>
  <si>
    <t>Materfer - U.</t>
  </si>
  <si>
    <t>G.M. GT22 CW</t>
  </si>
  <si>
    <t>CNR CKD 8G</t>
  </si>
  <si>
    <t>0001</t>
  </si>
  <si>
    <t>0005</t>
  </si>
  <si>
    <t>1 mes</t>
  </si>
  <si>
    <t>6 meses</t>
  </si>
  <si>
    <t>MOD 04</t>
  </si>
  <si>
    <t>MOD 06</t>
  </si>
  <si>
    <t>MOD 09</t>
  </si>
  <si>
    <t>MOD 10</t>
  </si>
  <si>
    <t>MOD 11</t>
  </si>
  <si>
    <t>MOD 12</t>
  </si>
  <si>
    <t>MOD 13</t>
  </si>
  <si>
    <t>MOD 14</t>
  </si>
  <si>
    <t>MOD 15</t>
  </si>
  <si>
    <t>MOD 16</t>
  </si>
  <si>
    <t>MOD 17</t>
  </si>
  <si>
    <t>MOD 18</t>
  </si>
  <si>
    <t>MOD 19</t>
  </si>
  <si>
    <t>MOD 20</t>
  </si>
  <si>
    <t>MOD 21</t>
  </si>
  <si>
    <t>MOD 22</t>
  </si>
  <si>
    <t>MOD 23</t>
  </si>
  <si>
    <t>MOD 24</t>
  </si>
  <si>
    <t>MOD 25</t>
  </si>
  <si>
    <t>MOD 26</t>
  </si>
  <si>
    <t>MOD 27</t>
  </si>
  <si>
    <t>MOD 28</t>
  </si>
  <si>
    <t>MOD 29</t>
  </si>
  <si>
    <t>MOD 30</t>
  </si>
  <si>
    <t>MOD 31</t>
  </si>
  <si>
    <t>MOD 32</t>
  </si>
  <si>
    <t>MOD 33</t>
  </si>
  <si>
    <t>MOD 34</t>
  </si>
  <si>
    <t>MOD 35</t>
  </si>
  <si>
    <t>MOD 36</t>
  </si>
  <si>
    <t>MOD 37</t>
  </si>
  <si>
    <t>MOD 38</t>
  </si>
  <si>
    <t>MOD 39</t>
  </si>
  <si>
    <t>MOD 40</t>
  </si>
  <si>
    <t>MOD 41</t>
  </si>
  <si>
    <t>MOD 42</t>
  </si>
  <si>
    <t>MOD 43</t>
  </si>
  <si>
    <t>MOD 44</t>
  </si>
  <si>
    <t>MOD 45</t>
  </si>
  <si>
    <t>MOD 46</t>
  </si>
  <si>
    <t>MOD 47</t>
  </si>
  <si>
    <t>MOD 48</t>
  </si>
  <si>
    <t>MOD 49</t>
  </si>
  <si>
    <t>MOD 50</t>
  </si>
  <si>
    <t>MOD 51</t>
  </si>
  <si>
    <t>MOD 52</t>
  </si>
  <si>
    <t>MOD 53</t>
  </si>
  <si>
    <t>MOD 54</t>
  </si>
  <si>
    <t>MOD 55</t>
  </si>
  <si>
    <t>MOD 56</t>
  </si>
  <si>
    <t>MOD 57</t>
  </si>
  <si>
    <t>MOD 58</t>
  </si>
  <si>
    <t>MOD 59</t>
  </si>
  <si>
    <t>MOD 60</t>
  </si>
  <si>
    <t>MOD 61</t>
  </si>
  <si>
    <t>MOD 62</t>
  </si>
  <si>
    <t>MOD 63</t>
  </si>
  <si>
    <t>MOD 64</t>
  </si>
  <si>
    <t>MOD 65</t>
  </si>
  <si>
    <t>MOD 66</t>
  </si>
  <si>
    <t>MOD 68</t>
  </si>
  <si>
    <t>MOD 69</t>
  </si>
  <si>
    <t>MOD 70</t>
  </si>
  <si>
    <t>MOD 71</t>
  </si>
  <si>
    <t>MOD 72</t>
  </si>
  <si>
    <t>MOD 73</t>
  </si>
  <si>
    <t>MOD 74</t>
  </si>
  <si>
    <t>MOD 75</t>
  </si>
  <si>
    <t>MOD 76</t>
  </si>
  <si>
    <t>MOD 77</t>
  </si>
  <si>
    <t>MOD 78</t>
  </si>
  <si>
    <t>MOD 79</t>
  </si>
  <si>
    <t>MOD 80</t>
  </si>
  <si>
    <t>MOD 81</t>
  </si>
  <si>
    <t>MOD 82</t>
  </si>
  <si>
    <t>MOD 83</t>
  </si>
  <si>
    <t>MOD 84</t>
  </si>
  <si>
    <t>MOD 85</t>
  </si>
  <si>
    <t>MOD 86</t>
  </si>
  <si>
    <t>Coche Motor</t>
  </si>
  <si>
    <t>TOSHIBA</t>
  </si>
  <si>
    <t>MOD39</t>
  </si>
  <si>
    <t>A 703</t>
  </si>
  <si>
    <t>A 710</t>
  </si>
  <si>
    <t>A 900</t>
  </si>
  <si>
    <t>A 908</t>
  </si>
  <si>
    <t>A 909</t>
  </si>
  <si>
    <t>A 910</t>
  </si>
  <si>
    <t>A 911</t>
  </si>
  <si>
    <t>A 912</t>
  </si>
  <si>
    <t>A 913</t>
  </si>
  <si>
    <t>A 914</t>
  </si>
  <si>
    <t>A 915</t>
  </si>
  <si>
    <t>A 917</t>
  </si>
  <si>
    <t>A 918</t>
  </si>
  <si>
    <t>A 919</t>
  </si>
  <si>
    <t>A 920</t>
  </si>
  <si>
    <t>A 922</t>
  </si>
  <si>
    <t>Materfer F.U.</t>
  </si>
  <si>
    <t>NOHAB - 0100</t>
  </si>
  <si>
    <t>0006</t>
  </si>
  <si>
    <t>0009</t>
  </si>
  <si>
    <t>0012</t>
  </si>
  <si>
    <t>0013</t>
  </si>
  <si>
    <t>CDA004</t>
  </si>
  <si>
    <t>CDA006</t>
  </si>
  <si>
    <t>CPA002</t>
  </si>
  <si>
    <t>CPA003</t>
  </si>
  <si>
    <t>CPA005</t>
  </si>
  <si>
    <t>CPA006</t>
  </si>
  <si>
    <t>CPA013</t>
  </si>
  <si>
    <t>CPA019</t>
  </si>
  <si>
    <t>CPA020</t>
  </si>
  <si>
    <t>CPA025</t>
  </si>
  <si>
    <t>CPA026</t>
  </si>
  <si>
    <t>CPA027</t>
  </si>
  <si>
    <t>CPA031</t>
  </si>
  <si>
    <t>CPA033</t>
  </si>
  <si>
    <t>CPA034</t>
  </si>
  <si>
    <t>CPA035</t>
  </si>
  <si>
    <t>CPA037</t>
  </si>
  <si>
    <t>CPA039</t>
  </si>
  <si>
    <t>CPA041</t>
  </si>
  <si>
    <t>CPA042</t>
  </si>
  <si>
    <t>CPA044</t>
  </si>
  <si>
    <t>CPA045</t>
  </si>
  <si>
    <t>CPA046</t>
  </si>
  <si>
    <t>CPA058</t>
  </si>
  <si>
    <t>CPA060</t>
  </si>
  <si>
    <t>CPA063</t>
  </si>
  <si>
    <t>CPA064</t>
  </si>
  <si>
    <t>CPA068</t>
  </si>
  <si>
    <t>CPA070</t>
  </si>
  <si>
    <t>CPA072</t>
  </si>
  <si>
    <t>CPA073</t>
  </si>
  <si>
    <t>CPA080</t>
  </si>
  <si>
    <t>CPA081</t>
  </si>
  <si>
    <t>CPA082</t>
  </si>
  <si>
    <t>CPA083</t>
  </si>
  <si>
    <t>CPA084</t>
  </si>
  <si>
    <t>CPA085</t>
  </si>
  <si>
    <t>CPA086</t>
  </si>
  <si>
    <t>CPA087</t>
  </si>
  <si>
    <t>CPA088</t>
  </si>
  <si>
    <t>CPA089</t>
  </si>
  <si>
    <t>CPA090</t>
  </si>
  <si>
    <t>CRA003</t>
  </si>
  <si>
    <t>CRA008</t>
  </si>
  <si>
    <t>CRA009</t>
  </si>
  <si>
    <t>CRA010</t>
  </si>
  <si>
    <t>CRA016</t>
  </si>
  <si>
    <t>CRA017</t>
  </si>
  <si>
    <t>CRA018</t>
  </si>
  <si>
    <t>FG008</t>
  </si>
  <si>
    <t>FG009</t>
  </si>
  <si>
    <t>FG010</t>
  </si>
  <si>
    <t>FG012</t>
  </si>
  <si>
    <t>FG017</t>
  </si>
  <si>
    <t>FG018</t>
  </si>
  <si>
    <t>FG019</t>
  </si>
  <si>
    <t>FS003</t>
  </si>
  <si>
    <t>FS005</t>
  </si>
  <si>
    <t>FS011</t>
  </si>
  <si>
    <t>FS017</t>
  </si>
  <si>
    <t>FS019</t>
  </si>
  <si>
    <t>PUA003</t>
  </si>
  <si>
    <t>PUA004</t>
  </si>
  <si>
    <t>PUA015</t>
  </si>
  <si>
    <t>PUA016</t>
  </si>
  <si>
    <t>PUA018</t>
  </si>
  <si>
    <t>PUA019</t>
  </si>
  <si>
    <t>PUA021</t>
  </si>
  <si>
    <t>PUA022</t>
  </si>
  <si>
    <t>PUA023</t>
  </si>
  <si>
    <t>PUA026</t>
  </si>
  <si>
    <t>PUA027</t>
  </si>
  <si>
    <t>PUA028</t>
  </si>
  <si>
    <t>PUA036</t>
  </si>
  <si>
    <t>PUA037</t>
  </si>
  <si>
    <t>PUAD001</t>
  </si>
  <si>
    <t>PUAD004</t>
  </si>
  <si>
    <t>PUAD005</t>
  </si>
  <si>
    <t>PUAD009</t>
  </si>
  <si>
    <t>PUAD010</t>
  </si>
  <si>
    <t>PUAD013</t>
  </si>
  <si>
    <t>PUAD020</t>
  </si>
  <si>
    <t>Módulo</t>
  </si>
  <si>
    <t>Planilla Tipo: MRMPA</t>
  </si>
  <si>
    <t>TOTAL</t>
  </si>
  <si>
    <t>FS007</t>
  </si>
  <si>
    <t>Reparación Bienal</t>
  </si>
  <si>
    <t>Revisióm Mensual</t>
  </si>
  <si>
    <t xml:space="preserve"> Revisión A</t>
  </si>
  <si>
    <t xml:space="preserve"> Revisión AB</t>
  </si>
  <si>
    <t xml:space="preserve"> Revisión ABC</t>
  </si>
  <si>
    <t>Examen</t>
  </si>
  <si>
    <t>Revisión 1</t>
  </si>
  <si>
    <t>Revisión 2</t>
  </si>
  <si>
    <t>Revisión 3</t>
  </si>
  <si>
    <t>Revisión 4</t>
  </si>
  <si>
    <t>Revisión 5</t>
  </si>
  <si>
    <t>Revisión 6</t>
  </si>
  <si>
    <t>Revisión Mensual</t>
  </si>
  <si>
    <t>Revisión Semestral</t>
  </si>
  <si>
    <t>Revisión A1</t>
  </si>
  <si>
    <t>PUAD003</t>
  </si>
  <si>
    <t>CPA079</t>
  </si>
  <si>
    <t>Coche Eléctrico CSR</t>
  </si>
  <si>
    <t>15 Días / 6.250 Km.</t>
  </si>
  <si>
    <t>2 Meses / 25.000 Km.</t>
  </si>
  <si>
    <t>2,5 Años / 375.000 Km.</t>
  </si>
  <si>
    <t>Revisión Quincenal</t>
  </si>
  <si>
    <t>Revisión Bimestral</t>
  </si>
  <si>
    <t xml:space="preserve"> Revisión Bianual</t>
  </si>
  <si>
    <t>Reparación Pentanual</t>
  </si>
  <si>
    <t xml:space="preserve"> Revisión Anual</t>
  </si>
  <si>
    <t>5 Años / 750.000 Km.</t>
  </si>
  <si>
    <t>Coche Eléctrico Toshiba</t>
  </si>
  <si>
    <t>Locomotora GM</t>
  </si>
  <si>
    <t>G.M. GT22 CW-2</t>
  </si>
  <si>
    <t>Locomotora CNR</t>
  </si>
  <si>
    <t>Coche Remolcado CNR</t>
  </si>
  <si>
    <t>15.000 Km.</t>
  </si>
  <si>
    <t>30.000 Km.</t>
  </si>
  <si>
    <t>120.000 Km.</t>
  </si>
  <si>
    <t>240.000 Km.</t>
  </si>
  <si>
    <t>480.000 Km.</t>
  </si>
  <si>
    <t>16.000 Km.</t>
  </si>
  <si>
    <t>50.000 Km.</t>
  </si>
  <si>
    <t>100.000 Km.</t>
  </si>
  <si>
    <t>200.000 Km.</t>
  </si>
  <si>
    <t>2.400.000 Km.</t>
  </si>
  <si>
    <t>Reparación A2</t>
  </si>
  <si>
    <t>400.000 Km.</t>
  </si>
  <si>
    <t>300.000 Km.</t>
  </si>
  <si>
    <t>600.000 Km.</t>
  </si>
  <si>
    <t>10.000 Km.</t>
  </si>
  <si>
    <t>20.000 Km.</t>
  </si>
  <si>
    <t>40.000 Km.</t>
  </si>
  <si>
    <t>60.000 Km.</t>
  </si>
  <si>
    <t>80.000 Km.</t>
  </si>
  <si>
    <t>360.000 Km.</t>
  </si>
  <si>
    <t>4.000 Km.</t>
  </si>
  <si>
    <t>240.000Km.</t>
  </si>
  <si>
    <t>24.000Km.</t>
  </si>
  <si>
    <t>FG001</t>
  </si>
  <si>
    <t>FS020</t>
  </si>
  <si>
    <t>Q</t>
  </si>
  <si>
    <t>B</t>
  </si>
  <si>
    <t>ANUAL</t>
  </si>
  <si>
    <t>A</t>
  </si>
  <si>
    <t>BIANUAL (RPG)</t>
  </si>
  <si>
    <t>RB</t>
  </si>
  <si>
    <t>RG</t>
  </si>
  <si>
    <t>ABC</t>
  </si>
  <si>
    <t>N1-6</t>
  </si>
  <si>
    <t>RP</t>
  </si>
  <si>
    <t>A1</t>
  </si>
  <si>
    <t>A2</t>
  </si>
  <si>
    <t>MOD 01</t>
  </si>
  <si>
    <t>MOD 02</t>
  </si>
  <si>
    <t>MOD 03</t>
  </si>
  <si>
    <t>MOD 05</t>
  </si>
  <si>
    <t>MOD 07</t>
  </si>
  <si>
    <t>MOD 08</t>
  </si>
  <si>
    <t>A925</t>
  </si>
  <si>
    <t>15 Meses / 187.500 Km.</t>
  </si>
  <si>
    <t>-</t>
  </si>
  <si>
    <t>MEN</t>
  </si>
  <si>
    <t>AB</t>
  </si>
  <si>
    <t>R6</t>
  </si>
  <si>
    <t>R4</t>
  </si>
  <si>
    <t>R5</t>
  </si>
  <si>
    <t>N</t>
  </si>
  <si>
    <t>R1</t>
  </si>
  <si>
    <t>R2</t>
  </si>
  <si>
    <t>R3</t>
  </si>
  <si>
    <t>EX</t>
  </si>
  <si>
    <t>SEM</t>
  </si>
  <si>
    <t>(*)</t>
  </si>
  <si>
    <t>unidad fuera de servicio</t>
  </si>
  <si>
    <t>D</t>
  </si>
  <si>
    <t>Revision A</t>
  </si>
  <si>
    <t>Revision B</t>
  </si>
  <si>
    <t>DA</t>
  </si>
  <si>
    <t>DECANUAL</t>
  </si>
  <si>
    <t>Reparación Decanual</t>
  </si>
  <si>
    <t>Km Mes:</t>
  </si>
  <si>
    <t>Mensual</t>
  </si>
  <si>
    <t>Semestral</t>
  </si>
  <si>
    <t>Coche Motor Nohab</t>
  </si>
  <si>
    <t>Planilla Tipo: MRAM (1)</t>
  </si>
  <si>
    <t>10 Años / 1.500.000 Km.</t>
  </si>
  <si>
    <t>A1 + BV</t>
  </si>
  <si>
    <t>Reparación A3</t>
  </si>
  <si>
    <t>800.000 Km.</t>
  </si>
  <si>
    <t>A3</t>
  </si>
  <si>
    <t>Kilometraje anual previsto a recorrer: -</t>
  </si>
  <si>
    <t>Vagón</t>
  </si>
  <si>
    <t>M21</t>
  </si>
  <si>
    <t>M22</t>
  </si>
  <si>
    <t>Vagón cerrado</t>
  </si>
  <si>
    <t>Vagón plataforma</t>
  </si>
  <si>
    <t>Vagón Tolva (Hopper)</t>
  </si>
  <si>
    <t>REV</t>
  </si>
  <si>
    <t>Revision AB</t>
  </si>
  <si>
    <t>Revisión B</t>
  </si>
  <si>
    <t>Revisión AB</t>
  </si>
  <si>
    <t>Vagones</t>
  </si>
  <si>
    <t>Alistamiento</t>
  </si>
  <si>
    <t>1 Año</t>
  </si>
  <si>
    <t>3 Años</t>
  </si>
  <si>
    <t>REV A</t>
  </si>
  <si>
    <t>6 Años</t>
  </si>
  <si>
    <t>REV B</t>
  </si>
  <si>
    <t>12 Años</t>
  </si>
  <si>
    <t>MR Auxiliar</t>
  </si>
  <si>
    <t>Coche Tren de Auxilio</t>
  </si>
  <si>
    <t>Coche Materfer Frenado</t>
  </si>
  <si>
    <t>Locomotora Maniobra</t>
  </si>
  <si>
    <t>A608</t>
  </si>
  <si>
    <t>A620</t>
  </si>
  <si>
    <t>A619</t>
  </si>
  <si>
    <t>Revisión A</t>
  </si>
  <si>
    <t>Revisión REV</t>
  </si>
  <si>
    <t>AL</t>
  </si>
  <si>
    <t>BA</t>
  </si>
  <si>
    <t>N2</t>
  </si>
  <si>
    <t>N1</t>
  </si>
  <si>
    <t>720.000 Km.</t>
  </si>
  <si>
    <t>Reparación Numeral "1"</t>
  </si>
  <si>
    <t>Reparación Numeral "2"</t>
  </si>
  <si>
    <t>Kilometraje anual previsto a recorrer: 9.348.504</t>
  </si>
  <si>
    <t>CPA014</t>
  </si>
  <si>
    <t>CPA018</t>
  </si>
  <si>
    <t>FS013</t>
  </si>
  <si>
    <t>A 904</t>
  </si>
  <si>
    <t>N4</t>
  </si>
  <si>
    <t>T11</t>
  </si>
  <si>
    <t>T15</t>
  </si>
  <si>
    <t>T28</t>
  </si>
  <si>
    <t>T47</t>
  </si>
  <si>
    <t>T49</t>
  </si>
  <si>
    <t>ABC + BV</t>
  </si>
  <si>
    <t>A703</t>
  </si>
  <si>
    <t>Revisión ABC</t>
  </si>
  <si>
    <t>Revision ABC</t>
  </si>
  <si>
    <t xml:space="preserve"> Revisión A G22</t>
  </si>
  <si>
    <t xml:space="preserve"> Revisión A GT22</t>
  </si>
  <si>
    <t xml:space="preserve"> Revisión AB G22</t>
  </si>
  <si>
    <t xml:space="preserve"> Revisión AB GT22</t>
  </si>
  <si>
    <t>RG EXT</t>
  </si>
  <si>
    <t>Plan de Mantenimiento Preventivo Año: 2026</t>
  </si>
  <si>
    <t>Kilometraje anual previsto a recorrer: 12.105.546</t>
  </si>
  <si>
    <t>Kilometraje anual previsto a recorrer: 2.269.957</t>
  </si>
  <si>
    <t>AÑO 2026</t>
  </si>
  <si>
    <t>Km. al: 30/09/2025</t>
  </si>
  <si>
    <t xml:space="preserve"> - Detenido en Reparación General desde fecha 01/04/25 -</t>
  </si>
  <si>
    <t xml:space="preserve"> - Detenido en Reparación General desde fecha 04/02/25 -</t>
  </si>
  <si>
    <t xml:space="preserve"> - Detenida en  Reparación Numeral 3 desde fecha 16/09/25 -</t>
  </si>
  <si>
    <t>N5</t>
  </si>
  <si>
    <t>N3</t>
  </si>
  <si>
    <t>Kilometraje anual previsto a recorrer: 1.262.706</t>
  </si>
  <si>
    <t>ABC Total</t>
  </si>
  <si>
    <t>Kilometraje anual previsto a recorrer: 3.470.360</t>
  </si>
  <si>
    <t xml:space="preserve"> - Detenido en Reparación General desde fecha 03/07/25 -</t>
  </si>
  <si>
    <t xml:space="preserve"> - Detenido en Reparación General desde fecha 22/04/25 -</t>
  </si>
  <si>
    <t xml:space="preserve"> - Detenido en Reparación General desde fecha 30/07/25 -</t>
  </si>
  <si>
    <t>ABC+BV</t>
  </si>
  <si>
    <t>1 + BV</t>
  </si>
  <si>
    <t>1 Total</t>
  </si>
  <si>
    <t>LINEA ROCA</t>
  </si>
  <si>
    <t>INTERVENCIONES PESADAS QUE NO SE PUEDEN EJECUTAR EN TALLERES PROPIOS</t>
  </si>
  <si>
    <t>TIPO DE MAT RODANTE</t>
  </si>
  <si>
    <t>N°</t>
  </si>
  <si>
    <t>INT. NECESARIA</t>
  </si>
  <si>
    <t>OBSERVACIONES</t>
  </si>
  <si>
    <t>GM G22</t>
  </si>
  <si>
    <t>RN4</t>
  </si>
  <si>
    <t>GM GT22 CW-2</t>
  </si>
  <si>
    <t>A909</t>
  </si>
  <si>
    <t>RN2</t>
  </si>
  <si>
    <t>A911</t>
  </si>
  <si>
    <t>RN6</t>
  </si>
  <si>
    <t>A920</t>
  </si>
  <si>
    <t>CCRR Materfer</t>
  </si>
  <si>
    <t>Módulo CCEE Toshiba</t>
  </si>
  <si>
    <t>T06</t>
  </si>
  <si>
    <t>MEN + BV</t>
  </si>
  <si>
    <t>T22</t>
  </si>
  <si>
    <t>T29</t>
  </si>
  <si>
    <t>T31</t>
  </si>
  <si>
    <t>T36</t>
  </si>
  <si>
    <t>T43</t>
  </si>
  <si>
    <t>Kilometraje anual previsto a recorrer: 775.709</t>
  </si>
  <si>
    <t>DALIAN CKD8G</t>
  </si>
  <si>
    <t>G0001</t>
  </si>
  <si>
    <t>G0005</t>
  </si>
  <si>
    <t>G0009</t>
  </si>
  <si>
    <t>G0012</t>
  </si>
  <si>
    <t>N2 (720 K)</t>
  </si>
  <si>
    <t>R6 + BV</t>
  </si>
  <si>
    <t>N1 (360 K) + BV</t>
  </si>
  <si>
    <t>Kilometraje anual previsto a recorrer: 45.245</t>
  </si>
  <si>
    <t>Años</t>
  </si>
  <si>
    <t>Módulo CCEE CSR</t>
  </si>
  <si>
    <t>BA + BV</t>
  </si>
  <si>
    <t>AN + BV</t>
  </si>
  <si>
    <t>INT. PROGRAMADA</t>
  </si>
  <si>
    <t>BV en Octubre 2026</t>
  </si>
  <si>
    <t>BV en Marzo 2026</t>
  </si>
  <si>
    <t>BA en Agosto 2026</t>
  </si>
  <si>
    <t>BV Vence 03/06/2026</t>
  </si>
  <si>
    <t>BV Vence 14/08/2026</t>
  </si>
  <si>
    <t>AN (06) + BV</t>
  </si>
  <si>
    <t>AN (04) + BV</t>
  </si>
  <si>
    <t>AN (07) + BV</t>
  </si>
  <si>
    <t>BV Vence 12/08/2026</t>
  </si>
  <si>
    <t>BV Vence 02/10/2026</t>
  </si>
  <si>
    <t>AN (09) + BV</t>
  </si>
  <si>
    <t>BA Octubre 2025</t>
  </si>
  <si>
    <t>BA (10/25) + BV</t>
  </si>
  <si>
    <t>AN (08) + BV</t>
  </si>
  <si>
    <t>BV Vence 24/09/2026</t>
  </si>
  <si>
    <t>AN (10) + BV</t>
  </si>
  <si>
    <t>BV Vence 05/08/2026</t>
  </si>
  <si>
    <t>AN (11/25) + BV</t>
  </si>
  <si>
    <t>AN (10/25) + BV</t>
  </si>
  <si>
    <t>BA (12/25) + BV</t>
  </si>
  <si>
    <t>BA (01) + BV</t>
  </si>
  <si>
    <t>BA (03) + BV</t>
  </si>
  <si>
    <t>BV Vence 23/07/2026</t>
  </si>
  <si>
    <t>AN (12/25)</t>
  </si>
  <si>
    <t>BA (11/25) + BV</t>
  </si>
  <si>
    <t>BV en Octubre 2027</t>
  </si>
  <si>
    <t>AN (11) + BV</t>
  </si>
  <si>
    <t>AN (12) + BV</t>
  </si>
  <si>
    <t>BA (04) + BV</t>
  </si>
  <si>
    <t>BV Vence 09/09/2026</t>
  </si>
  <si>
    <t>BV Noviembre 2025 (vence Nov. 2026) (BI)</t>
  </si>
  <si>
    <t>BV Octubre 2025 (vence Oct. 2026) (BI)</t>
  </si>
  <si>
    <t>BV Diciembre 2025 (vence Dic. 2026) (BI)</t>
  </si>
  <si>
    <t>BA (05) + BV</t>
  </si>
  <si>
    <t>BA (06) + BV</t>
  </si>
  <si>
    <t>BA (08) + BV</t>
  </si>
  <si>
    <t>FUERA DEL PARQUE</t>
  </si>
  <si>
    <t>CCRR CNR</t>
  </si>
  <si>
    <t>A1 (12) + BV</t>
  </si>
  <si>
    <t>A900</t>
  </si>
  <si>
    <t>0008</t>
  </si>
  <si>
    <t>G0013</t>
  </si>
  <si>
    <t>T34</t>
  </si>
  <si>
    <t>A1 (11) + BV</t>
  </si>
  <si>
    <t>A1 (10) + BV</t>
  </si>
  <si>
    <t>A1 (09) + BV</t>
  </si>
  <si>
    <t>AN (05) + BV</t>
  </si>
  <si>
    <t>BA (11) + BV</t>
  </si>
  <si>
    <t>ingreso a RE 11/2025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</si>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</sst>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;@"/>
    <numFmt numFmtId="165" formatCode="000"/>
    <numFmt numFmtId="166" formatCode="#,##0_ ;\-#,##0\ "/>
    <numFmt numFmtId="167" formatCode="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2B6CA7"/>
      <name val="Arial"/>
      <family val="2"/>
    </font>
    <font>
      <b/>
      <sz val="18"/>
      <color rgb="FF0070C0"/>
      <name val="Arial"/>
      <family val="2"/>
    </font>
    <font>
      <sz val="10"/>
      <name val="Arial"/>
      <family val="2"/>
    </font>
    <font>
      <sz val="10"/>
      <name val="CG Omega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48"/>
      <color theme="1"/>
      <name val="Calibri"/>
      <family val="2"/>
      <scheme val="minor"/>
    </font>
    <font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5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0" fillId="0" borderId="0"/>
    <xf numFmtId="0" fontId="1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</cellStyleXfs>
  <cellXfs count="144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12" fillId="2" borderId="1" xfId="3" applyNumberFormat="1" applyFont="1" applyFill="1" applyBorder="1" applyAlignment="1">
      <alignment horizontal="center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7" fillId="0" borderId="1" xfId="5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12" fillId="2" borderId="1" xfId="3" quotePrefix="1" applyNumberFormat="1" applyFont="1" applyFill="1" applyBorder="1" applyAlignment="1">
      <alignment horizontal="center" vertical="center"/>
    </xf>
    <xf numFmtId="3" fontId="7" fillId="0" borderId="1" xfId="7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5" fillId="0" borderId="1" xfId="2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5" fillId="2" borderId="1" xfId="4" applyNumberFormat="1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7" applyFont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14" fontId="5" fillId="0" borderId="1" xfId="3" applyNumberFormat="1" applyFont="1" applyBorder="1" applyAlignment="1">
      <alignment horizontal="center" vertical="center"/>
    </xf>
    <xf numFmtId="3" fontId="5" fillId="3" borderId="1" xfId="6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3" fontId="12" fillId="2" borderId="1" xfId="3" applyNumberFormat="1" applyFont="1" applyFill="1" applyBorder="1" applyAlignment="1">
      <alignment horizontal="centerContinuous" vertical="center"/>
    </xf>
    <xf numFmtId="14" fontId="5" fillId="2" borderId="1" xfId="0" applyNumberFormat="1" applyFont="1" applyFill="1" applyBorder="1" applyAlignment="1">
      <alignment horizontal="centerContinuous" vertical="center"/>
    </xf>
    <xf numFmtId="3" fontId="7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1" xfId="4" applyFont="1" applyFill="1" applyBorder="1" applyAlignment="1" applyProtection="1">
      <alignment horizontal="center" vertical="center"/>
      <protection locked="0"/>
    </xf>
    <xf numFmtId="3" fontId="7" fillId="0" borderId="1" xfId="8" applyNumberFormat="1" applyFont="1" applyBorder="1" applyAlignment="1">
      <alignment horizontal="center" vertical="center"/>
    </xf>
    <xf numFmtId="3" fontId="7" fillId="2" borderId="1" xfId="8" applyNumberFormat="1" applyFont="1" applyFill="1" applyBorder="1" applyAlignment="1">
      <alignment horizontal="center" vertical="center"/>
    </xf>
    <xf numFmtId="3" fontId="5" fillId="2" borderId="1" xfId="3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5" fillId="5" borderId="1" xfId="9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right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14" fontId="12" fillId="2" borderId="1" xfId="3" quotePrefix="1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3" fontId="5" fillId="0" borderId="1" xfId="2" applyNumberFormat="1" applyFont="1" applyBorder="1" applyAlignment="1">
      <alignment horizontal="centerContinuous" vertical="center"/>
    </xf>
    <xf numFmtId="14" fontId="5" fillId="0" borderId="1" xfId="0" applyNumberFormat="1" applyFont="1" applyBorder="1" applyAlignment="1">
      <alignment horizontal="centerContinuous" vertical="center"/>
    </xf>
    <xf numFmtId="0" fontId="7" fillId="0" borderId="1" xfId="7" applyFont="1" applyBorder="1" applyAlignment="1">
      <alignment horizontal="centerContinuous" vertical="center"/>
    </xf>
    <xf numFmtId="164" fontId="5" fillId="0" borderId="1" xfId="2" applyNumberFormat="1" applyFont="1" applyBorder="1" applyAlignment="1">
      <alignment horizontal="centerContinuous" vertical="center"/>
    </xf>
    <xf numFmtId="0" fontId="3" fillId="0" borderId="2" xfId="1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165" fontId="1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6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3" fontId="15" fillId="0" borderId="0" xfId="1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 applyProtection="1">
      <alignment horizontal="center" vertical="center"/>
      <protection locked="0"/>
    </xf>
    <xf numFmtId="3" fontId="12" fillId="2" borderId="0" xfId="3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3" fontId="7" fillId="0" borderId="0" xfId="8" applyNumberFormat="1" applyFont="1" applyAlignment="1">
      <alignment horizontal="center" vertical="center"/>
    </xf>
    <xf numFmtId="166" fontId="0" fillId="0" borderId="0" xfId="10" applyNumberFormat="1" applyFont="1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10" applyNumberFormat="1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3" fontId="7" fillId="2" borderId="0" xfId="0" applyNumberFormat="1" applyFont="1" applyFill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9" xfId="0" applyFill="1" applyBorder="1" applyAlignment="1">
      <alignment horizontal="center"/>
    </xf>
    <xf numFmtId="167" fontId="0" fillId="10" borderId="9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9" fillId="2" borderId="3" xfId="0" applyNumberFormat="1" applyFont="1" applyFill="1" applyBorder="1" applyAlignment="1">
      <alignment horizontal="center" vertical="center"/>
    </xf>
    <xf numFmtId="3" fontId="19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center" vertical="center"/>
    </xf>
    <xf numFmtId="3" fontId="6" fillId="10" borderId="0" xfId="0" applyNumberFormat="1" applyFont="1" applyFill="1" applyAlignment="1">
      <alignment horizontal="center"/>
    </xf>
    <xf numFmtId="3" fontId="6" fillId="10" borderId="0" xfId="0" applyNumberFormat="1" applyFont="1" applyFill="1" applyAlignment="1">
      <alignment horizontal="center" vertical="center"/>
    </xf>
    <xf numFmtId="14" fontId="5" fillId="2" borderId="1" xfId="3" applyNumberFormat="1" applyFont="1" applyFill="1" applyBorder="1" applyAlignment="1">
      <alignment horizontal="centerContinuous" vertical="center"/>
    </xf>
    <xf numFmtId="3" fontId="7" fillId="0" borderId="0" xfId="0" applyNumberFormat="1" applyFont="1" applyAlignment="1">
      <alignment horizontal="center"/>
    </xf>
    <xf numFmtId="3" fontId="7" fillId="10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15" fillId="0" borderId="0" xfId="10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17" fillId="0" borderId="7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8" xfId="0" applyFill="1" applyBorder="1" applyAlignment="1">
      <alignment horizontal="center"/>
    </xf>
  </cellXfs>
  <cellStyles count="13">
    <cellStyle name="Millares" xfId="10" builtinId="3"/>
    <cellStyle name="Millares 2" xfId="11" xr:uid="{00000000-0005-0000-0000-000001000000}"/>
    <cellStyle name="Normal" xfId="0" builtinId="0"/>
    <cellStyle name="Normal 2" xfId="12" xr:uid="{00000000-0005-0000-0000-000003000000}"/>
    <cellStyle name="Normal 2 2" xfId="6" xr:uid="{00000000-0005-0000-0000-000004000000}"/>
    <cellStyle name="Normal 3" xfId="2" xr:uid="{00000000-0005-0000-0000-000005000000}"/>
    <cellStyle name="Normal 3 2 2" xfId="9" xr:uid="{00000000-0005-0000-0000-000006000000}"/>
    <cellStyle name="Normal 4" xfId="5" xr:uid="{00000000-0005-0000-0000-000007000000}"/>
    <cellStyle name="Normal 6" xfId="1" xr:uid="{00000000-0005-0000-0000-000008000000}"/>
    <cellStyle name="Normal 7" xfId="7" xr:uid="{00000000-0005-0000-0000-000009000000}"/>
    <cellStyle name="Normal 7 2" xfId="8" xr:uid="{00000000-0005-0000-0000-00000A000000}"/>
    <cellStyle name="Normal_Mantenimiento PP-RG 99" xfId="3" xr:uid="{00000000-0005-0000-0000-00000B000000}"/>
    <cellStyle name="Normal_Prog.Rep.Taller CCRR 2" xfId="4" xr:uid="{00000000-0005-0000-0000-00000C000000}"/>
  </cellStyles>
  <dxfs count="61"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5" tint="-0.2499465926084170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5" tint="-0.2499465926084170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4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5" tint="0.39994506668294322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9" tint="0.39994506668294322"/>
      </font>
      <fill>
        <patternFill>
          <bgColor theme="9" tint="-0.499984740745262"/>
        </patternFill>
      </fill>
    </dxf>
    <dxf>
      <font>
        <b/>
        <i val="0"/>
        <color theme="8" tint="0.39994506668294322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4" tint="0.39994506668294322"/>
        </patternFill>
      </fill>
    </dxf>
    <dxf>
      <font>
        <b/>
        <i val="0"/>
        <color theme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D169FF"/>
      <color rgb="FF2B6CA7"/>
      <color rgb="FF0358E3"/>
      <color rgb="FF0885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3</xdr:col>
      <xdr:colOff>30692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54767" cy="461202"/>
        </a:xfrm>
        <a:prstGeom prst="rect">
          <a:avLst/>
        </a:prstGeom>
      </xdr:spPr>
    </xdr:pic>
    <xdr:clientData/>
  </xdr:twoCellAnchor>
  <xdr:twoCellAnchor editAs="oneCell">
    <xdr:from>
      <xdr:col>15</xdr:col>
      <xdr:colOff>279400</xdr:colOff>
      <xdr:row>0</xdr:row>
      <xdr:rowOff>50800</xdr:rowOff>
    </xdr:from>
    <xdr:to>
      <xdr:col>17</xdr:col>
      <xdr:colOff>698500</xdr:colOff>
      <xdr:row>2</xdr:row>
      <xdr:rowOff>165052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700" y="50800"/>
          <a:ext cx="184785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1</xdr:col>
      <xdr:colOff>861484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6409" cy="461202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0</xdr:row>
      <xdr:rowOff>42332</xdr:rowOff>
    </xdr:from>
    <xdr:to>
      <xdr:col>25</xdr:col>
      <xdr:colOff>0</xdr:colOff>
      <xdr:row>2</xdr:row>
      <xdr:rowOff>156584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42332"/>
          <a:ext cx="1857375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3</xdr:col>
      <xdr:colOff>30692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54767" cy="461202"/>
        </a:xfrm>
        <a:prstGeom prst="rect">
          <a:avLst/>
        </a:prstGeom>
      </xdr:spPr>
    </xdr:pic>
    <xdr:clientData/>
  </xdr:twoCellAnchor>
  <xdr:twoCellAnchor editAs="oneCell">
    <xdr:from>
      <xdr:col>15</xdr:col>
      <xdr:colOff>292100</xdr:colOff>
      <xdr:row>0</xdr:row>
      <xdr:rowOff>50800</xdr:rowOff>
    </xdr:from>
    <xdr:to>
      <xdr:col>18</xdr:col>
      <xdr:colOff>0</xdr:colOff>
      <xdr:row>2</xdr:row>
      <xdr:rowOff>165052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6300" y="50800"/>
          <a:ext cx="18415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2</xdr:col>
      <xdr:colOff>184150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2175" cy="461202"/>
        </a:xfrm>
        <a:prstGeom prst="rect">
          <a:avLst/>
        </a:prstGeom>
      </xdr:spPr>
    </xdr:pic>
    <xdr:clientData/>
  </xdr:twoCellAnchor>
  <xdr:twoCellAnchor editAs="oneCell">
    <xdr:from>
      <xdr:col>20</xdr:col>
      <xdr:colOff>380998</xdr:colOff>
      <xdr:row>0</xdr:row>
      <xdr:rowOff>42332</xdr:rowOff>
    </xdr:from>
    <xdr:to>
      <xdr:col>24</xdr:col>
      <xdr:colOff>444498</xdr:colOff>
      <xdr:row>2</xdr:row>
      <xdr:rowOff>156584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3415" y="42332"/>
          <a:ext cx="18415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2</xdr:col>
      <xdr:colOff>517525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54767" cy="461202"/>
        </a:xfrm>
        <a:prstGeom prst="rect">
          <a:avLst/>
        </a:prstGeom>
      </xdr:spPr>
    </xdr:pic>
    <xdr:clientData/>
  </xdr:twoCellAnchor>
  <xdr:twoCellAnchor editAs="oneCell">
    <xdr:from>
      <xdr:col>15</xdr:col>
      <xdr:colOff>292100</xdr:colOff>
      <xdr:row>0</xdr:row>
      <xdr:rowOff>50800</xdr:rowOff>
    </xdr:from>
    <xdr:to>
      <xdr:col>18</xdr:col>
      <xdr:colOff>232833</xdr:colOff>
      <xdr:row>2</xdr:row>
      <xdr:rowOff>165052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6300" y="50800"/>
          <a:ext cx="18415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1</xdr:col>
      <xdr:colOff>1066800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2175" cy="461202"/>
        </a:xfrm>
        <a:prstGeom prst="rect">
          <a:avLst/>
        </a:prstGeom>
      </xdr:spPr>
    </xdr:pic>
    <xdr:clientData/>
  </xdr:twoCellAnchor>
  <xdr:twoCellAnchor editAs="oneCell">
    <xdr:from>
      <xdr:col>20</xdr:col>
      <xdr:colOff>380999</xdr:colOff>
      <xdr:row>0</xdr:row>
      <xdr:rowOff>42332</xdr:rowOff>
    </xdr:from>
    <xdr:to>
      <xdr:col>24</xdr:col>
      <xdr:colOff>444499</xdr:colOff>
      <xdr:row>2</xdr:row>
      <xdr:rowOff>156584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6832" y="42332"/>
          <a:ext cx="18415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162175" cy="461202"/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2175" cy="461202"/>
        </a:xfrm>
        <a:prstGeom prst="rect">
          <a:avLst/>
        </a:prstGeom>
      </xdr:spPr>
    </xdr:pic>
    <xdr:clientData/>
  </xdr:oneCellAnchor>
  <xdr:oneCellAnchor>
    <xdr:from>
      <xdr:col>15</xdr:col>
      <xdr:colOff>292100</xdr:colOff>
      <xdr:row>0</xdr:row>
      <xdr:rowOff>50800</xdr:rowOff>
    </xdr:from>
    <xdr:ext cx="1866900" cy="495252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4400" y="50800"/>
          <a:ext cx="18669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167467" cy="461202"/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7467" cy="461202"/>
        </a:xfrm>
        <a:prstGeom prst="rect">
          <a:avLst/>
        </a:prstGeom>
      </xdr:spPr>
    </xdr:pic>
    <xdr:clientData/>
  </xdr:oneCellAnchor>
  <xdr:oneCellAnchor>
    <xdr:from>
      <xdr:col>20</xdr:col>
      <xdr:colOff>380999</xdr:colOff>
      <xdr:row>0</xdr:row>
      <xdr:rowOff>42332</xdr:rowOff>
    </xdr:from>
    <xdr:ext cx="1841500" cy="495252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4" y="42332"/>
          <a:ext cx="18415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2</xdr:col>
      <xdr:colOff>697442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54767" cy="461202"/>
        </a:xfrm>
        <a:prstGeom prst="rect">
          <a:avLst/>
        </a:prstGeom>
      </xdr:spPr>
    </xdr:pic>
    <xdr:clientData/>
  </xdr:twoCellAnchor>
  <xdr:twoCellAnchor editAs="oneCell">
    <xdr:from>
      <xdr:col>15</xdr:col>
      <xdr:colOff>279400</xdr:colOff>
      <xdr:row>0</xdr:row>
      <xdr:rowOff>50800</xdr:rowOff>
    </xdr:from>
    <xdr:to>
      <xdr:col>17</xdr:col>
      <xdr:colOff>698500</xdr:colOff>
      <xdr:row>2</xdr:row>
      <xdr:rowOff>165052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6475" y="50800"/>
          <a:ext cx="184785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1</xdr:col>
      <xdr:colOff>876300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2175" cy="461202"/>
        </a:xfrm>
        <a:prstGeom prst="rect">
          <a:avLst/>
        </a:prstGeom>
      </xdr:spPr>
    </xdr:pic>
    <xdr:clientData/>
  </xdr:twoCellAnchor>
  <xdr:twoCellAnchor editAs="oneCell">
    <xdr:from>
      <xdr:col>20</xdr:col>
      <xdr:colOff>380999</xdr:colOff>
      <xdr:row>0</xdr:row>
      <xdr:rowOff>0</xdr:rowOff>
    </xdr:from>
    <xdr:to>
      <xdr:col>24</xdr:col>
      <xdr:colOff>444499</xdr:colOff>
      <xdr:row>2</xdr:row>
      <xdr:rowOff>114252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099" y="0"/>
          <a:ext cx="18542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2</xdr:col>
      <xdr:colOff>697442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54767" cy="461202"/>
        </a:xfrm>
        <a:prstGeom prst="rect">
          <a:avLst/>
        </a:prstGeom>
      </xdr:spPr>
    </xdr:pic>
    <xdr:clientData/>
  </xdr:twoCellAnchor>
  <xdr:twoCellAnchor editAs="oneCell">
    <xdr:from>
      <xdr:col>15</xdr:col>
      <xdr:colOff>292100</xdr:colOff>
      <xdr:row>0</xdr:row>
      <xdr:rowOff>50800</xdr:rowOff>
    </xdr:from>
    <xdr:to>
      <xdr:col>18</xdr:col>
      <xdr:colOff>0</xdr:colOff>
      <xdr:row>2</xdr:row>
      <xdr:rowOff>165052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4400" y="50800"/>
          <a:ext cx="1851025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2</xdr:col>
      <xdr:colOff>438150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2175" cy="461202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381002</xdr:colOff>
      <xdr:row>0</xdr:row>
      <xdr:rowOff>42332</xdr:rowOff>
    </xdr:from>
    <xdr:to>
      <xdr:col>25</xdr:col>
      <xdr:colOff>2</xdr:colOff>
      <xdr:row>2</xdr:row>
      <xdr:rowOff>156584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7" y="42332"/>
          <a:ext cx="1857375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2</xdr:col>
      <xdr:colOff>575734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47359" cy="461202"/>
        </a:xfrm>
        <a:prstGeom prst="rect">
          <a:avLst/>
        </a:prstGeom>
      </xdr:spPr>
    </xdr:pic>
    <xdr:clientData/>
  </xdr:twoCellAnchor>
  <xdr:twoCellAnchor editAs="oneCell">
    <xdr:from>
      <xdr:col>15</xdr:col>
      <xdr:colOff>300566</xdr:colOff>
      <xdr:row>0</xdr:row>
      <xdr:rowOff>42332</xdr:rowOff>
    </xdr:from>
    <xdr:to>
      <xdr:col>18</xdr:col>
      <xdr:colOff>0</xdr:colOff>
      <xdr:row>2</xdr:row>
      <xdr:rowOff>156584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7166" y="42332"/>
          <a:ext cx="1842559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2</xdr:col>
      <xdr:colOff>438150</xdr:colOff>
      <xdr:row>2</xdr:row>
      <xdr:rowOff>137352</xdr:rowOff>
    </xdr:to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2175" cy="461202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381001</xdr:colOff>
      <xdr:row>0</xdr:row>
      <xdr:rowOff>42332</xdr:rowOff>
    </xdr:from>
    <xdr:to>
      <xdr:col>25</xdr:col>
      <xdr:colOff>1</xdr:colOff>
      <xdr:row>2</xdr:row>
      <xdr:rowOff>156584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6" y="42332"/>
          <a:ext cx="1857375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156884" cy="461202"/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56884" cy="461202"/>
        </a:xfrm>
        <a:prstGeom prst="rect">
          <a:avLst/>
        </a:prstGeom>
      </xdr:spPr>
    </xdr:pic>
    <xdr:clientData/>
  </xdr:oneCellAnchor>
  <xdr:oneCellAnchor>
    <xdr:from>
      <xdr:col>16</xdr:col>
      <xdr:colOff>233954</xdr:colOff>
      <xdr:row>0</xdr:row>
      <xdr:rowOff>34627</xdr:rowOff>
    </xdr:from>
    <xdr:ext cx="1858434" cy="495252"/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2179" y="34627"/>
          <a:ext cx="1858434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167467" cy="461202"/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7467" cy="461202"/>
        </a:xfrm>
        <a:prstGeom prst="rect">
          <a:avLst/>
        </a:prstGeom>
      </xdr:spPr>
    </xdr:pic>
    <xdr:clientData/>
  </xdr:oneCellAnchor>
  <xdr:oneCellAnchor>
    <xdr:from>
      <xdr:col>20</xdr:col>
      <xdr:colOff>381001</xdr:colOff>
      <xdr:row>0</xdr:row>
      <xdr:rowOff>42332</xdr:rowOff>
    </xdr:from>
    <xdr:ext cx="1841500" cy="495252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6" y="42332"/>
          <a:ext cx="18415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156884" cy="461202"/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56884" cy="461202"/>
        </a:xfrm>
        <a:prstGeom prst="rect">
          <a:avLst/>
        </a:prstGeom>
      </xdr:spPr>
    </xdr:pic>
    <xdr:clientData/>
  </xdr:oneCellAnchor>
  <xdr:oneCellAnchor>
    <xdr:from>
      <xdr:col>16</xdr:col>
      <xdr:colOff>233954</xdr:colOff>
      <xdr:row>0</xdr:row>
      <xdr:rowOff>34627</xdr:rowOff>
    </xdr:from>
    <xdr:ext cx="1858434" cy="495252"/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4079" y="34627"/>
          <a:ext cx="1858434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167467" cy="461202"/>
    <xdr:pic>
      <xdr:nvPicPr>
        <xdr:cNvPr id="2" name="5 Imagen" descr="Logo 6.1 - TRENES ARGENTINOS OPERACIONES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2167467" cy="461202"/>
        </a:xfrm>
        <a:prstGeom prst="rect">
          <a:avLst/>
        </a:prstGeom>
      </xdr:spPr>
    </xdr:pic>
    <xdr:clientData/>
  </xdr:oneCellAnchor>
  <xdr:oneCellAnchor>
    <xdr:from>
      <xdr:col>20</xdr:col>
      <xdr:colOff>381001</xdr:colOff>
      <xdr:row>0</xdr:row>
      <xdr:rowOff>42332</xdr:rowOff>
    </xdr:from>
    <xdr:ext cx="1841500" cy="495252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6" y="42332"/>
          <a:ext cx="1841500" cy="4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T98"/>
  <sheetViews>
    <sheetView showGridLines="0" zoomScale="90" zoomScaleNormal="90" workbookViewId="0">
      <pane ySplit="9" topLeftCell="A10" activePane="bottomLeft" state="frozenSplit"/>
      <selection activeCell="H23" sqref="H23"/>
      <selection pane="bottomLeft" activeCell="A10" sqref="A10"/>
    </sheetView>
  </sheetViews>
  <sheetFormatPr baseColWidth="10" defaultColWidth="11.42578125" defaultRowHeight="15"/>
  <cols>
    <col min="1" max="1" width="11.7109375" style="13" customWidth="1"/>
    <col min="2" max="2" width="10" style="13" bestFit="1" customWidth="1"/>
    <col min="3" max="11" width="10.7109375" style="13" customWidth="1"/>
    <col min="12" max="12" width="11.42578125" style="13" bestFit="1" customWidth="1"/>
    <col min="13" max="19" width="10.7109375" style="13" customWidth="1"/>
    <col min="20" max="16384" width="11.42578125" style="13"/>
  </cols>
  <sheetData>
    <row r="1" spans="1:19" ht="15" customHeight="1">
      <c r="F1" s="16"/>
      <c r="G1" s="129" t="s">
        <v>243</v>
      </c>
      <c r="H1" s="129"/>
      <c r="I1" s="129"/>
      <c r="J1" s="129"/>
      <c r="K1" s="129"/>
      <c r="L1" s="3"/>
      <c r="M1" s="3"/>
      <c r="N1" s="3"/>
    </row>
    <row r="2" spans="1:19" ht="15" customHeight="1">
      <c r="F2" s="23"/>
      <c r="G2" s="129"/>
      <c r="H2" s="129"/>
      <c r="I2" s="129"/>
      <c r="J2" s="129"/>
      <c r="K2" s="129"/>
      <c r="L2" s="3"/>
      <c r="M2" s="3"/>
      <c r="N2" s="3"/>
    </row>
    <row r="3" spans="1:19" ht="15" customHeight="1">
      <c r="F3" s="16"/>
      <c r="G3" s="129" t="s">
        <v>408</v>
      </c>
      <c r="H3" s="129"/>
      <c r="I3" s="129"/>
      <c r="J3" s="129"/>
      <c r="K3" s="129"/>
      <c r="L3" s="3"/>
      <c r="M3" s="3"/>
      <c r="N3" s="3"/>
    </row>
    <row r="4" spans="1:19" ht="15" customHeight="1">
      <c r="F4" s="16"/>
      <c r="G4" s="129" t="s">
        <v>409</v>
      </c>
      <c r="H4" s="129"/>
      <c r="I4" s="129"/>
      <c r="J4" s="129"/>
      <c r="K4" s="129"/>
      <c r="L4" s="93"/>
      <c r="M4" s="95"/>
      <c r="N4" s="129"/>
      <c r="R4" s="60"/>
    </row>
    <row r="5" spans="1:19">
      <c r="E5" s="128"/>
      <c r="F5" s="128"/>
      <c r="G5" s="128"/>
      <c r="H5" s="128"/>
      <c r="I5" s="51"/>
      <c r="K5" s="60"/>
      <c r="L5" s="96"/>
      <c r="M5" s="95"/>
      <c r="N5" s="129"/>
      <c r="R5" s="60"/>
    </row>
    <row r="6" spans="1:19">
      <c r="E6" s="128" t="s">
        <v>17</v>
      </c>
      <c r="F6" s="128"/>
      <c r="G6" s="129" t="s">
        <v>263</v>
      </c>
      <c r="H6" s="129"/>
      <c r="L6" s="94"/>
      <c r="M6" s="97"/>
      <c r="N6" s="1"/>
      <c r="R6" s="60"/>
    </row>
    <row r="8" spans="1:19" customFormat="1">
      <c r="A8" s="77" t="s">
        <v>412</v>
      </c>
      <c r="B8" s="47"/>
      <c r="C8" s="130" t="s">
        <v>40</v>
      </c>
      <c r="D8" s="130"/>
      <c r="E8" s="131" t="s">
        <v>41</v>
      </c>
      <c r="F8" s="131"/>
      <c r="G8" s="131"/>
      <c r="H8" s="132" t="s">
        <v>411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spans="1:19" customFormat="1">
      <c r="A9" s="39" t="s">
        <v>38</v>
      </c>
      <c r="B9" s="38" t="s">
        <v>242</v>
      </c>
      <c r="C9" s="38" t="s">
        <v>1</v>
      </c>
      <c r="D9" s="38" t="s">
        <v>2</v>
      </c>
      <c r="E9" s="38" t="s">
        <v>1</v>
      </c>
      <c r="F9" s="38" t="s">
        <v>3</v>
      </c>
      <c r="G9" s="38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</row>
    <row r="10" spans="1:19" customFormat="1">
      <c r="A10" s="37" t="s">
        <v>45</v>
      </c>
      <c r="B10" s="37" t="s">
        <v>315</v>
      </c>
      <c r="C10" s="43">
        <v>1254339</v>
      </c>
      <c r="D10" s="44">
        <v>43008</v>
      </c>
      <c r="E10" s="45">
        <v>1398</v>
      </c>
      <c r="F10" s="24" t="s">
        <v>303</v>
      </c>
      <c r="G10" s="11">
        <v>45928</v>
      </c>
      <c r="H10" s="46"/>
      <c r="I10" s="46"/>
      <c r="J10" s="46"/>
      <c r="K10" s="46"/>
      <c r="L10" s="46"/>
      <c r="M10" s="46"/>
      <c r="N10" s="46"/>
      <c r="O10" s="46"/>
      <c r="P10" s="46"/>
      <c r="Q10" s="46" t="s">
        <v>382</v>
      </c>
      <c r="R10" s="46"/>
      <c r="S10" s="46"/>
    </row>
    <row r="11" spans="1:19" customFormat="1">
      <c r="A11" s="37" t="s">
        <v>45</v>
      </c>
      <c r="B11" s="37" t="s">
        <v>316</v>
      </c>
      <c r="C11" s="43">
        <v>1278496</v>
      </c>
      <c r="D11" s="44">
        <v>42247</v>
      </c>
      <c r="E11" s="45">
        <v>2955</v>
      </c>
      <c r="F11" s="24" t="s">
        <v>303</v>
      </c>
      <c r="G11" s="11">
        <v>45923</v>
      </c>
      <c r="H11" s="46"/>
      <c r="I11" s="46"/>
      <c r="J11" s="46"/>
      <c r="K11" s="46"/>
      <c r="L11" s="46" t="s">
        <v>337</v>
      </c>
      <c r="M11" s="46"/>
      <c r="N11" s="46"/>
      <c r="O11" s="46"/>
      <c r="P11" s="46"/>
      <c r="Q11" s="46"/>
      <c r="R11" s="46"/>
      <c r="S11" s="46"/>
    </row>
    <row r="12" spans="1:19" customFormat="1">
      <c r="A12" s="37" t="s">
        <v>45</v>
      </c>
      <c r="B12" s="37" t="s">
        <v>317</v>
      </c>
      <c r="C12" s="43">
        <v>1436440</v>
      </c>
      <c r="D12" s="44">
        <v>42308</v>
      </c>
      <c r="E12" s="45">
        <v>2431</v>
      </c>
      <c r="F12" s="24" t="s">
        <v>303</v>
      </c>
      <c r="G12" s="11">
        <v>45924</v>
      </c>
      <c r="H12" s="46"/>
      <c r="I12" s="46"/>
      <c r="J12" s="46"/>
      <c r="K12" s="46"/>
      <c r="L12" s="46" t="s">
        <v>306</v>
      </c>
      <c r="M12" s="46"/>
      <c r="N12" s="46"/>
      <c r="O12" s="46"/>
      <c r="P12" s="46"/>
      <c r="Q12" s="46"/>
      <c r="R12" s="46"/>
      <c r="S12" s="46"/>
    </row>
    <row r="13" spans="1:19" customFormat="1">
      <c r="A13" s="37" t="s">
        <v>45</v>
      </c>
      <c r="B13" s="37" t="s">
        <v>56</v>
      </c>
      <c r="C13" s="43">
        <v>1436491</v>
      </c>
      <c r="D13" s="44">
        <v>42277</v>
      </c>
      <c r="E13" s="45">
        <v>1346</v>
      </c>
      <c r="F13" s="24" t="s">
        <v>303</v>
      </c>
      <c r="G13" s="11">
        <v>45927</v>
      </c>
      <c r="H13" s="46"/>
      <c r="I13" s="46"/>
      <c r="J13" s="46"/>
      <c r="K13" s="46"/>
      <c r="L13" s="46"/>
      <c r="M13" s="46"/>
      <c r="N13" s="46" t="s">
        <v>337</v>
      </c>
      <c r="O13" s="46"/>
      <c r="P13" s="46"/>
      <c r="Q13" s="46"/>
      <c r="R13" s="46"/>
      <c r="S13" s="46"/>
    </row>
    <row r="14" spans="1:19" customFormat="1">
      <c r="A14" s="37" t="s">
        <v>45</v>
      </c>
      <c r="B14" s="37" t="s">
        <v>318</v>
      </c>
      <c r="C14" s="43">
        <v>1366839</v>
      </c>
      <c r="D14" s="44">
        <v>42613</v>
      </c>
      <c r="E14" s="45">
        <v>5197</v>
      </c>
      <c r="F14" s="24" t="s">
        <v>303</v>
      </c>
      <c r="G14" s="11">
        <v>45917</v>
      </c>
      <c r="H14" s="46"/>
      <c r="I14" s="46"/>
      <c r="J14" s="46"/>
      <c r="K14" s="46" t="s">
        <v>382</v>
      </c>
      <c r="L14" s="46"/>
      <c r="M14" s="46"/>
      <c r="N14" s="46"/>
      <c r="O14" s="46"/>
      <c r="P14" s="46"/>
      <c r="Q14" s="46"/>
      <c r="R14" s="46"/>
      <c r="S14" s="46"/>
    </row>
    <row r="15" spans="1:19" customFormat="1">
      <c r="A15" s="37" t="s">
        <v>45</v>
      </c>
      <c r="B15" s="37" t="s">
        <v>57</v>
      </c>
      <c r="C15" s="43">
        <v>1386740</v>
      </c>
      <c r="D15" s="44">
        <v>42247</v>
      </c>
      <c r="E15" s="45">
        <v>1</v>
      </c>
      <c r="F15" s="24" t="s">
        <v>303</v>
      </c>
      <c r="G15" s="11">
        <v>45930</v>
      </c>
      <c r="H15" s="46"/>
      <c r="I15" s="46"/>
      <c r="J15" s="46"/>
      <c r="K15" s="46" t="s">
        <v>337</v>
      </c>
      <c r="L15" s="46"/>
      <c r="M15" s="46"/>
      <c r="N15" s="46"/>
      <c r="O15" s="46"/>
      <c r="P15" s="46"/>
      <c r="Q15" s="46"/>
      <c r="R15" s="46"/>
      <c r="S15" s="46"/>
    </row>
    <row r="16" spans="1:19" customFormat="1">
      <c r="A16" s="37" t="s">
        <v>45</v>
      </c>
      <c r="B16" s="37" t="s">
        <v>319</v>
      </c>
      <c r="C16" s="43">
        <v>1412990</v>
      </c>
      <c r="D16" s="44">
        <v>42247</v>
      </c>
      <c r="E16" s="45">
        <v>2969</v>
      </c>
      <c r="F16" s="24" t="s">
        <v>303</v>
      </c>
      <c r="G16" s="11">
        <v>45923</v>
      </c>
      <c r="H16" s="46"/>
      <c r="I16" s="46"/>
      <c r="J16" s="46"/>
      <c r="K16" s="46" t="s">
        <v>337</v>
      </c>
      <c r="L16" s="46"/>
      <c r="M16" s="46"/>
      <c r="N16" s="46"/>
      <c r="O16" s="46"/>
      <c r="P16" s="46"/>
      <c r="Q16" s="46"/>
      <c r="R16" s="46"/>
      <c r="S16" s="46"/>
    </row>
    <row r="17" spans="1:19" customFormat="1">
      <c r="A17" s="37" t="s">
        <v>45</v>
      </c>
      <c r="B17" s="37" t="s">
        <v>320</v>
      </c>
      <c r="C17" s="43">
        <v>1407691</v>
      </c>
      <c r="D17" s="44">
        <v>42613</v>
      </c>
      <c r="E17" s="45">
        <v>6400</v>
      </c>
      <c r="F17" s="24" t="s">
        <v>304</v>
      </c>
      <c r="G17" s="11">
        <v>45916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</row>
    <row r="18" spans="1:19" customFormat="1">
      <c r="A18" s="37" t="s">
        <v>45</v>
      </c>
      <c r="B18" s="37" t="s">
        <v>58</v>
      </c>
      <c r="C18" s="43">
        <v>1390992</v>
      </c>
      <c r="D18" s="44">
        <v>42582</v>
      </c>
      <c r="E18" s="45">
        <v>2494</v>
      </c>
      <c r="F18" s="24" t="s">
        <v>303</v>
      </c>
      <c r="G18" s="11">
        <v>45924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 spans="1:19" customFormat="1">
      <c r="A19" s="37" t="s">
        <v>45</v>
      </c>
      <c r="B19" s="37" t="s">
        <v>59</v>
      </c>
      <c r="C19" s="43">
        <v>1411133</v>
      </c>
      <c r="D19" s="44">
        <v>42582</v>
      </c>
      <c r="E19" s="45">
        <v>3532</v>
      </c>
      <c r="F19" s="24" t="s">
        <v>303</v>
      </c>
      <c r="G19" s="11">
        <v>45922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</row>
    <row r="20" spans="1:19" customFormat="1">
      <c r="A20" s="37" t="s">
        <v>45</v>
      </c>
      <c r="B20" s="37" t="s">
        <v>60</v>
      </c>
      <c r="C20" s="43">
        <v>1411071</v>
      </c>
      <c r="D20" s="44">
        <v>42277</v>
      </c>
      <c r="E20" s="45">
        <v>1072</v>
      </c>
      <c r="F20" s="24" t="s">
        <v>303</v>
      </c>
      <c r="G20" s="11">
        <v>45928</v>
      </c>
      <c r="H20" s="46"/>
      <c r="I20" s="46" t="s">
        <v>306</v>
      </c>
      <c r="J20" s="46"/>
      <c r="K20" s="46"/>
      <c r="L20" s="46"/>
      <c r="M20" s="46"/>
      <c r="N20" s="46"/>
      <c r="O20" s="46"/>
      <c r="P20" s="46" t="s">
        <v>337</v>
      </c>
      <c r="Q20" s="46"/>
      <c r="R20" s="46"/>
      <c r="S20" s="46"/>
    </row>
    <row r="21" spans="1:19" customFormat="1">
      <c r="A21" s="37" t="s">
        <v>45</v>
      </c>
      <c r="B21" s="37" t="s">
        <v>61</v>
      </c>
      <c r="C21" s="43">
        <v>1406937</v>
      </c>
      <c r="D21" s="44">
        <v>42308</v>
      </c>
      <c r="E21" s="45">
        <v>1183</v>
      </c>
      <c r="F21" s="24" t="s">
        <v>306</v>
      </c>
      <c r="G21" s="11">
        <v>45925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 t="s">
        <v>382</v>
      </c>
      <c r="S21" s="46"/>
    </row>
    <row r="22" spans="1:19" customFormat="1">
      <c r="A22" s="37" t="s">
        <v>45</v>
      </c>
      <c r="B22" s="37" t="s">
        <v>62</v>
      </c>
      <c r="C22" s="43">
        <v>1413986</v>
      </c>
      <c r="D22" s="44">
        <v>42460</v>
      </c>
      <c r="E22" s="45">
        <v>3085</v>
      </c>
      <c r="F22" s="24" t="s">
        <v>303</v>
      </c>
      <c r="G22" s="11">
        <v>45923</v>
      </c>
      <c r="H22" s="46"/>
      <c r="I22" s="46"/>
      <c r="J22" s="46"/>
      <c r="K22" s="46"/>
      <c r="L22" s="46"/>
      <c r="M22" s="46"/>
      <c r="N22" s="46" t="s">
        <v>306</v>
      </c>
      <c r="O22" s="46"/>
      <c r="P22" s="46"/>
      <c r="Q22" s="46"/>
      <c r="R22" s="46"/>
      <c r="S22" s="46"/>
    </row>
    <row r="23" spans="1:19" customFormat="1">
      <c r="A23" s="37" t="s">
        <v>45</v>
      </c>
      <c r="B23" s="37" t="s">
        <v>63</v>
      </c>
      <c r="C23" s="43">
        <v>1307964</v>
      </c>
      <c r="D23" s="44">
        <v>42277</v>
      </c>
      <c r="E23" s="45">
        <v>1428</v>
      </c>
      <c r="F23" s="24" t="s">
        <v>303</v>
      </c>
      <c r="G23" s="11">
        <v>45926</v>
      </c>
      <c r="H23" s="46"/>
      <c r="I23" s="46"/>
      <c r="J23" s="46"/>
      <c r="K23" s="46"/>
      <c r="L23" s="46"/>
      <c r="M23" s="46"/>
      <c r="N23" s="46"/>
      <c r="O23" s="46" t="s">
        <v>382</v>
      </c>
      <c r="P23" s="46"/>
      <c r="Q23" s="46"/>
      <c r="R23" s="46"/>
      <c r="S23" s="46"/>
    </row>
    <row r="24" spans="1:19" customFormat="1">
      <c r="A24" s="37" t="s">
        <v>45</v>
      </c>
      <c r="B24" s="37" t="s">
        <v>64</v>
      </c>
      <c r="C24" s="43">
        <v>1404415</v>
      </c>
      <c r="D24" s="44">
        <v>42400</v>
      </c>
      <c r="E24" s="45">
        <v>897</v>
      </c>
      <c r="F24" s="24" t="s">
        <v>303</v>
      </c>
      <c r="G24" s="11">
        <v>45929</v>
      </c>
      <c r="H24" s="46"/>
      <c r="I24" s="46"/>
      <c r="J24" s="46"/>
      <c r="K24" s="46"/>
      <c r="L24" s="46"/>
      <c r="M24" s="46"/>
      <c r="N24" s="46"/>
      <c r="O24" s="46" t="s">
        <v>306</v>
      </c>
      <c r="P24" s="46"/>
      <c r="Q24" s="46"/>
      <c r="R24" s="46"/>
      <c r="S24" s="46"/>
    </row>
    <row r="25" spans="1:19" customFormat="1">
      <c r="A25" s="37" t="s">
        <v>45</v>
      </c>
      <c r="B25" s="37" t="s">
        <v>65</v>
      </c>
      <c r="C25" s="43">
        <v>1372997</v>
      </c>
      <c r="D25" s="44">
        <v>42277</v>
      </c>
      <c r="E25" s="45">
        <v>4486</v>
      </c>
      <c r="F25" s="45" t="s">
        <v>304</v>
      </c>
      <c r="G25" s="11">
        <v>45920</v>
      </c>
      <c r="H25" s="46"/>
      <c r="I25" s="46" t="s">
        <v>382</v>
      </c>
      <c r="J25" s="46"/>
      <c r="K25" s="46"/>
      <c r="L25" s="46"/>
      <c r="M25" s="46"/>
      <c r="N25" s="46"/>
      <c r="O25" s="46"/>
      <c r="P25" s="46"/>
      <c r="Q25" s="46" t="s">
        <v>337</v>
      </c>
      <c r="R25" s="46"/>
      <c r="S25" s="46"/>
    </row>
    <row r="26" spans="1:19" customFormat="1">
      <c r="A26" s="37" t="s">
        <v>45</v>
      </c>
      <c r="B26" s="37" t="s">
        <v>66</v>
      </c>
      <c r="C26" s="43">
        <v>1382526</v>
      </c>
      <c r="D26" s="44">
        <v>42277</v>
      </c>
      <c r="E26" s="45">
        <v>3375</v>
      </c>
      <c r="F26" s="24" t="s">
        <v>304</v>
      </c>
      <c r="G26" s="11">
        <v>45924</v>
      </c>
      <c r="H26" s="46"/>
      <c r="I26" s="46" t="s">
        <v>382</v>
      </c>
      <c r="J26" s="46"/>
      <c r="K26" s="46"/>
      <c r="L26" s="46"/>
      <c r="M26" s="46"/>
      <c r="N26" s="46"/>
      <c r="O26" s="46"/>
      <c r="P26" s="46"/>
      <c r="Q26" s="46" t="s">
        <v>337</v>
      </c>
      <c r="R26" s="46"/>
      <c r="S26" s="46"/>
    </row>
    <row r="27" spans="1:19" customFormat="1">
      <c r="A27" s="37" t="s">
        <v>45</v>
      </c>
      <c r="B27" s="37" t="s">
        <v>67</v>
      </c>
      <c r="C27" s="43">
        <v>1400193</v>
      </c>
      <c r="D27" s="44">
        <v>42460</v>
      </c>
      <c r="E27" s="45">
        <v>5184</v>
      </c>
      <c r="F27" s="24" t="s">
        <v>303</v>
      </c>
      <c r="G27" s="11">
        <v>45915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 t="s">
        <v>306</v>
      </c>
      <c r="S27" s="46"/>
    </row>
    <row r="28" spans="1:19" customFormat="1">
      <c r="A28" s="37" t="s">
        <v>45</v>
      </c>
      <c r="B28" s="37" t="s">
        <v>68</v>
      </c>
      <c r="C28" s="43">
        <v>1332970</v>
      </c>
      <c r="D28" s="44">
        <v>42277</v>
      </c>
      <c r="E28" s="45">
        <v>3215</v>
      </c>
      <c r="F28" s="24" t="s">
        <v>303</v>
      </c>
      <c r="G28" s="11">
        <v>45922</v>
      </c>
      <c r="H28" s="46"/>
      <c r="I28" s="46"/>
      <c r="J28" s="46"/>
      <c r="K28" s="46"/>
      <c r="L28" s="46" t="s">
        <v>382</v>
      </c>
      <c r="M28" s="46"/>
      <c r="N28" s="46"/>
      <c r="O28" s="46"/>
      <c r="P28" s="46"/>
      <c r="Q28" s="46"/>
      <c r="R28" s="46"/>
      <c r="S28" s="46" t="s">
        <v>337</v>
      </c>
    </row>
    <row r="29" spans="1:19" customFormat="1">
      <c r="A29" s="37" t="s">
        <v>45</v>
      </c>
      <c r="B29" s="37" t="s">
        <v>69</v>
      </c>
      <c r="C29" s="43">
        <v>1421985</v>
      </c>
      <c r="D29" s="44">
        <v>42400</v>
      </c>
      <c r="E29" s="45">
        <v>4521</v>
      </c>
      <c r="F29" s="24" t="s">
        <v>303</v>
      </c>
      <c r="G29" s="11">
        <v>45921</v>
      </c>
      <c r="H29" s="46"/>
      <c r="I29" s="46"/>
      <c r="J29" s="46"/>
      <c r="K29" s="46"/>
      <c r="L29" s="46"/>
      <c r="M29" s="46" t="s">
        <v>306</v>
      </c>
      <c r="N29" s="46"/>
      <c r="O29" s="46"/>
      <c r="P29" s="46"/>
      <c r="Q29" s="46"/>
      <c r="R29" s="46"/>
      <c r="S29" s="46"/>
    </row>
    <row r="30" spans="1:19" customFormat="1">
      <c r="A30" s="37" t="s">
        <v>45</v>
      </c>
      <c r="B30" s="37" t="s">
        <v>70</v>
      </c>
      <c r="C30" s="43">
        <v>1383960</v>
      </c>
      <c r="D30" s="44">
        <v>42674</v>
      </c>
      <c r="E30" s="45">
        <v>1663</v>
      </c>
      <c r="F30" s="24" t="s">
        <v>304</v>
      </c>
      <c r="G30" s="11">
        <v>45926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</row>
    <row r="31" spans="1:19" customFormat="1">
      <c r="A31" s="37" t="s">
        <v>45</v>
      </c>
      <c r="B31" s="37" t="s">
        <v>71</v>
      </c>
      <c r="C31" s="43">
        <v>1408722</v>
      </c>
      <c r="D31" s="44">
        <v>42551</v>
      </c>
      <c r="E31" s="45">
        <v>508</v>
      </c>
      <c r="F31" s="24" t="s">
        <v>303</v>
      </c>
      <c r="G31" s="11">
        <v>45930</v>
      </c>
      <c r="H31" s="46"/>
      <c r="I31" s="46"/>
      <c r="J31" s="46"/>
      <c r="K31" s="46"/>
      <c r="L31" s="46"/>
      <c r="M31" s="46"/>
      <c r="N31" s="46"/>
      <c r="O31" s="46" t="s">
        <v>306</v>
      </c>
      <c r="P31" s="46"/>
      <c r="Q31" s="46"/>
      <c r="R31" s="46"/>
      <c r="S31" s="46"/>
    </row>
    <row r="32" spans="1:19" customFormat="1">
      <c r="A32" s="37" t="s">
        <v>45</v>
      </c>
      <c r="B32" s="37" t="s">
        <v>72</v>
      </c>
      <c r="C32" s="43">
        <v>1403983</v>
      </c>
      <c r="D32" s="44">
        <v>42308</v>
      </c>
      <c r="E32" s="45">
        <v>1827</v>
      </c>
      <c r="F32" s="24" t="s">
        <v>303</v>
      </c>
      <c r="G32" s="11">
        <v>45925</v>
      </c>
      <c r="H32" s="46"/>
      <c r="I32" s="46"/>
      <c r="J32" s="46"/>
      <c r="K32" s="46"/>
      <c r="L32" s="46" t="s">
        <v>306</v>
      </c>
      <c r="M32" s="46"/>
      <c r="N32" s="46"/>
      <c r="O32" s="46"/>
      <c r="P32" s="46"/>
      <c r="Q32" s="46"/>
      <c r="R32" s="46"/>
      <c r="S32" s="46"/>
    </row>
    <row r="33" spans="1:19" customFormat="1">
      <c r="A33" s="37" t="s">
        <v>45</v>
      </c>
      <c r="B33" s="37" t="s">
        <v>73</v>
      </c>
      <c r="C33" s="43">
        <v>1315773</v>
      </c>
      <c r="D33" s="44">
        <v>42277</v>
      </c>
      <c r="E33" s="45">
        <v>565</v>
      </c>
      <c r="F33" s="24" t="s">
        <v>303</v>
      </c>
      <c r="G33" s="11">
        <v>45930</v>
      </c>
      <c r="H33" s="46"/>
      <c r="I33" s="46"/>
      <c r="J33" s="46"/>
      <c r="K33" s="46"/>
      <c r="L33" s="46"/>
      <c r="M33" s="46" t="s">
        <v>382</v>
      </c>
      <c r="N33" s="46"/>
      <c r="O33" s="46"/>
      <c r="P33" s="46"/>
      <c r="Q33" s="46"/>
      <c r="R33" s="46"/>
      <c r="S33" s="46" t="s">
        <v>337</v>
      </c>
    </row>
    <row r="34" spans="1:19" customFormat="1">
      <c r="A34" s="37" t="s">
        <v>45</v>
      </c>
      <c r="B34" s="37" t="s">
        <v>74</v>
      </c>
      <c r="C34" s="43">
        <v>1339524</v>
      </c>
      <c r="D34" s="44">
        <v>42277</v>
      </c>
      <c r="E34" s="45">
        <v>6035</v>
      </c>
      <c r="F34" s="24" t="s">
        <v>303</v>
      </c>
      <c r="G34" s="11">
        <v>45917</v>
      </c>
      <c r="H34" s="46"/>
      <c r="I34" s="46"/>
      <c r="J34" s="46"/>
      <c r="K34" s="46"/>
      <c r="L34" s="46"/>
      <c r="M34" s="46" t="s">
        <v>382</v>
      </c>
      <c r="N34" s="46"/>
      <c r="O34" s="46"/>
      <c r="P34" s="46"/>
      <c r="Q34" s="46"/>
      <c r="R34" s="46" t="s">
        <v>337</v>
      </c>
      <c r="S34" s="46"/>
    </row>
    <row r="35" spans="1:19" customFormat="1">
      <c r="A35" s="37" t="s">
        <v>45</v>
      </c>
      <c r="B35" s="37" t="s">
        <v>75</v>
      </c>
      <c r="C35" s="43">
        <v>1388476</v>
      </c>
      <c r="D35" s="44">
        <v>42277</v>
      </c>
      <c r="E35" s="45">
        <v>2331</v>
      </c>
      <c r="F35" s="24" t="s">
        <v>303</v>
      </c>
      <c r="G35" s="11">
        <v>45926</v>
      </c>
      <c r="H35" s="46"/>
      <c r="I35" s="46"/>
      <c r="J35" s="46"/>
      <c r="K35" s="46"/>
      <c r="L35" s="46" t="s">
        <v>306</v>
      </c>
      <c r="M35" s="46"/>
      <c r="N35" s="46"/>
      <c r="O35" s="46"/>
      <c r="P35" s="46" t="s">
        <v>337</v>
      </c>
      <c r="Q35" s="46"/>
      <c r="R35" s="46"/>
      <c r="S35" s="46"/>
    </row>
    <row r="36" spans="1:19" customFormat="1">
      <c r="A36" s="37" t="s">
        <v>45</v>
      </c>
      <c r="B36" s="37" t="s">
        <v>76</v>
      </c>
      <c r="C36" s="43">
        <v>1440939</v>
      </c>
      <c r="D36" s="44">
        <v>42277</v>
      </c>
      <c r="E36" s="45">
        <v>6001</v>
      </c>
      <c r="F36" s="24" t="s">
        <v>304</v>
      </c>
      <c r="G36" s="11">
        <v>45917</v>
      </c>
      <c r="H36" s="46"/>
      <c r="I36" s="46"/>
      <c r="J36" s="46"/>
      <c r="K36" s="46"/>
      <c r="L36" s="46"/>
      <c r="M36" s="46" t="s">
        <v>337</v>
      </c>
      <c r="N36" s="46"/>
      <c r="O36" s="46"/>
      <c r="P36" s="46"/>
      <c r="Q36" s="46"/>
      <c r="R36" s="46"/>
      <c r="S36" s="46"/>
    </row>
    <row r="37" spans="1:19" customFormat="1">
      <c r="A37" s="37" t="s">
        <v>45</v>
      </c>
      <c r="B37" s="37" t="s">
        <v>77</v>
      </c>
      <c r="C37" s="43">
        <v>1429568</v>
      </c>
      <c r="D37" s="44">
        <v>42277</v>
      </c>
      <c r="E37" s="45">
        <v>5998</v>
      </c>
      <c r="F37" s="24" t="s">
        <v>303</v>
      </c>
      <c r="G37" s="11">
        <v>45918</v>
      </c>
      <c r="H37" s="46"/>
      <c r="I37" s="46"/>
      <c r="J37" s="46"/>
      <c r="K37" s="46"/>
      <c r="L37" s="46"/>
      <c r="M37" s="46"/>
      <c r="N37" s="46" t="s">
        <v>337</v>
      </c>
      <c r="O37" s="46"/>
      <c r="P37" s="46"/>
      <c r="Q37" s="46"/>
      <c r="R37" s="46"/>
      <c r="S37" s="46"/>
    </row>
    <row r="38" spans="1:19" customFormat="1">
      <c r="A38" s="37" t="s">
        <v>45</v>
      </c>
      <c r="B38" s="37" t="s">
        <v>78</v>
      </c>
      <c r="C38" s="43">
        <v>1406946</v>
      </c>
      <c r="D38" s="44">
        <v>42400</v>
      </c>
      <c r="E38" s="45">
        <v>5088</v>
      </c>
      <c r="F38" s="24" t="s">
        <v>304</v>
      </c>
      <c r="G38" s="11">
        <v>45918</v>
      </c>
      <c r="H38" s="46"/>
      <c r="I38" s="46"/>
      <c r="J38" s="46"/>
      <c r="K38" s="46"/>
      <c r="L38" s="46"/>
      <c r="M38" s="46"/>
      <c r="N38" s="46"/>
      <c r="O38" s="46"/>
      <c r="P38" s="46" t="s">
        <v>306</v>
      </c>
      <c r="Q38" s="46"/>
      <c r="R38" s="46"/>
      <c r="S38" s="46"/>
    </row>
    <row r="39" spans="1:19" customFormat="1">
      <c r="A39" s="37" t="s">
        <v>45</v>
      </c>
      <c r="B39" s="37" t="s">
        <v>79</v>
      </c>
      <c r="C39" s="43">
        <v>1450222</v>
      </c>
      <c r="D39" s="44">
        <v>42277</v>
      </c>
      <c r="E39" s="45">
        <v>1050</v>
      </c>
      <c r="F39" s="24" t="s">
        <v>303</v>
      </c>
      <c r="G39" s="11">
        <v>45929</v>
      </c>
      <c r="H39" s="46"/>
      <c r="I39" s="46"/>
      <c r="J39" s="46"/>
      <c r="K39" s="46"/>
      <c r="L39" s="46" t="s">
        <v>337</v>
      </c>
      <c r="M39" s="46"/>
      <c r="N39" s="46"/>
      <c r="O39" s="46"/>
      <c r="P39" s="46"/>
      <c r="Q39" s="46"/>
      <c r="R39" s="46"/>
      <c r="S39" s="46"/>
    </row>
    <row r="40" spans="1:19" customFormat="1">
      <c r="A40" s="37" t="s">
        <v>45</v>
      </c>
      <c r="B40" s="37" t="s">
        <v>80</v>
      </c>
      <c r="C40" s="43">
        <v>1292491</v>
      </c>
      <c r="D40" s="44">
        <v>42916</v>
      </c>
      <c r="E40" s="45">
        <v>4409</v>
      </c>
      <c r="F40" s="24" t="s">
        <v>304</v>
      </c>
      <c r="G40" s="11">
        <v>45922</v>
      </c>
      <c r="H40" s="46"/>
      <c r="I40" s="46"/>
      <c r="J40" s="46"/>
      <c r="K40" s="46"/>
      <c r="L40" s="46"/>
      <c r="M40" s="46"/>
      <c r="N40" s="46" t="s">
        <v>382</v>
      </c>
      <c r="O40" s="46"/>
      <c r="P40" s="46"/>
      <c r="Q40" s="46"/>
      <c r="R40" s="46"/>
      <c r="S40" s="46"/>
    </row>
    <row r="41" spans="1:19" customFormat="1">
      <c r="A41" s="37" t="s">
        <v>45</v>
      </c>
      <c r="B41" s="37" t="s">
        <v>81</v>
      </c>
      <c r="C41" s="43">
        <v>1393302</v>
      </c>
      <c r="D41" s="44">
        <v>42400</v>
      </c>
      <c r="E41" s="45">
        <v>3977</v>
      </c>
      <c r="F41" s="24" t="s">
        <v>303</v>
      </c>
      <c r="G41" s="11">
        <v>45911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 t="s">
        <v>306</v>
      </c>
    </row>
    <row r="42" spans="1:19" customFormat="1">
      <c r="A42" s="37" t="s">
        <v>45</v>
      </c>
      <c r="B42" s="37" t="s">
        <v>82</v>
      </c>
      <c r="C42" s="43">
        <v>1425799</v>
      </c>
      <c r="D42" s="44">
        <v>42277</v>
      </c>
      <c r="E42" s="45">
        <v>4314</v>
      </c>
      <c r="F42" s="24" t="s">
        <v>303</v>
      </c>
      <c r="G42" s="11">
        <v>45920</v>
      </c>
      <c r="H42" s="46"/>
      <c r="I42" s="46"/>
      <c r="J42" s="46"/>
      <c r="K42" s="46" t="s">
        <v>306</v>
      </c>
      <c r="L42" s="46"/>
      <c r="M42" s="46"/>
      <c r="N42" s="46"/>
      <c r="O42" s="46" t="s">
        <v>337</v>
      </c>
      <c r="P42" s="46"/>
      <c r="Q42" s="46"/>
      <c r="R42" s="46"/>
      <c r="S42" s="46"/>
    </row>
    <row r="43" spans="1:19" customFormat="1">
      <c r="A43" s="37" t="s">
        <v>45</v>
      </c>
      <c r="B43" s="37" t="s">
        <v>83</v>
      </c>
      <c r="C43" s="43">
        <v>1448478</v>
      </c>
      <c r="D43" s="44">
        <v>42277</v>
      </c>
      <c r="E43" s="45">
        <v>4582</v>
      </c>
      <c r="F43" s="24" t="s">
        <v>303</v>
      </c>
      <c r="G43" s="11">
        <v>45920</v>
      </c>
      <c r="H43" s="46"/>
      <c r="I43" s="46" t="s">
        <v>306</v>
      </c>
      <c r="J43" s="46"/>
      <c r="K43" s="46"/>
      <c r="L43" s="46"/>
      <c r="M43" s="46" t="s">
        <v>337</v>
      </c>
      <c r="N43" s="46"/>
      <c r="O43" s="46"/>
      <c r="P43" s="46"/>
      <c r="Q43" s="46"/>
      <c r="R43" s="46"/>
      <c r="S43" s="46"/>
    </row>
    <row r="44" spans="1:19" customFormat="1">
      <c r="A44" s="37" t="s">
        <v>45</v>
      </c>
      <c r="B44" s="37" t="s">
        <v>84</v>
      </c>
      <c r="C44" s="43">
        <v>1434224</v>
      </c>
      <c r="D44" s="44">
        <v>43827</v>
      </c>
      <c r="E44" s="45">
        <v>5697</v>
      </c>
      <c r="F44" s="24" t="s">
        <v>303</v>
      </c>
      <c r="G44" s="11">
        <v>45915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 t="s">
        <v>382</v>
      </c>
    </row>
    <row r="45" spans="1:19" customFormat="1">
      <c r="A45" s="37" t="s">
        <v>45</v>
      </c>
      <c r="B45" s="37" t="s">
        <v>85</v>
      </c>
      <c r="C45" s="43">
        <v>1425778</v>
      </c>
      <c r="D45" s="44">
        <v>42277</v>
      </c>
      <c r="E45" s="45">
        <v>5065</v>
      </c>
      <c r="F45" s="24" t="s">
        <v>303</v>
      </c>
      <c r="G45" s="11">
        <v>45919</v>
      </c>
      <c r="H45" s="46"/>
      <c r="I45" s="46" t="s">
        <v>306</v>
      </c>
      <c r="J45" s="46"/>
      <c r="K45" s="46"/>
      <c r="L45" s="46"/>
      <c r="M45" s="46"/>
      <c r="N45" s="46"/>
      <c r="O45" s="46" t="s">
        <v>337</v>
      </c>
      <c r="P45" s="46"/>
      <c r="Q45" s="46"/>
      <c r="R45" s="46"/>
      <c r="S45" s="46"/>
    </row>
    <row r="46" spans="1:19" customFormat="1">
      <c r="A46" s="37" t="s">
        <v>45</v>
      </c>
      <c r="B46" s="37" t="s">
        <v>86</v>
      </c>
      <c r="C46" s="43">
        <v>1293462</v>
      </c>
      <c r="D46" s="44">
        <v>42277</v>
      </c>
      <c r="E46" s="45">
        <v>1392</v>
      </c>
      <c r="F46" s="24" t="s">
        <v>303</v>
      </c>
      <c r="G46" s="11">
        <v>45925</v>
      </c>
      <c r="H46" s="46"/>
      <c r="I46" s="46"/>
      <c r="J46" s="46"/>
      <c r="K46" s="46"/>
      <c r="L46" s="46"/>
      <c r="M46" s="46"/>
      <c r="N46" s="46"/>
      <c r="O46" s="46"/>
      <c r="P46" s="46" t="s">
        <v>382</v>
      </c>
      <c r="Q46" s="46"/>
      <c r="R46" s="46"/>
      <c r="S46" s="46"/>
    </row>
    <row r="47" spans="1:19" customFormat="1">
      <c r="A47" s="37" t="s">
        <v>45</v>
      </c>
      <c r="B47" s="37" t="s">
        <v>87</v>
      </c>
      <c r="C47" s="43">
        <v>1407261</v>
      </c>
      <c r="D47" s="44">
        <v>42613</v>
      </c>
      <c r="E47" s="45">
        <v>2298</v>
      </c>
      <c r="F47" s="24" t="s">
        <v>303</v>
      </c>
      <c r="G47" s="11">
        <v>45925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</row>
    <row r="48" spans="1:19" customFormat="1">
      <c r="A48" s="37" t="s">
        <v>45</v>
      </c>
      <c r="B48" s="37" t="s">
        <v>88</v>
      </c>
      <c r="C48" s="43">
        <v>1365776</v>
      </c>
      <c r="D48" s="44">
        <v>42277</v>
      </c>
      <c r="E48" s="45">
        <v>2990</v>
      </c>
      <c r="F48" s="24" t="s">
        <v>304</v>
      </c>
      <c r="G48" s="11">
        <v>45923</v>
      </c>
      <c r="H48" s="46"/>
      <c r="I48" s="46"/>
      <c r="J48" s="46" t="s">
        <v>382</v>
      </c>
      <c r="K48" s="46"/>
      <c r="L48" s="46"/>
      <c r="M48" s="46"/>
      <c r="N48" s="46"/>
      <c r="O48" s="46"/>
      <c r="P48" s="46"/>
      <c r="Q48" s="46"/>
      <c r="R48" s="46" t="s">
        <v>337</v>
      </c>
      <c r="S48" s="46"/>
    </row>
    <row r="49" spans="1:19" customFormat="1">
      <c r="A49" s="37" t="s">
        <v>45</v>
      </c>
      <c r="B49" s="37" t="s">
        <v>89</v>
      </c>
      <c r="C49" s="43">
        <v>1293382</v>
      </c>
      <c r="D49" s="44">
        <v>42277</v>
      </c>
      <c r="E49" s="45">
        <v>4128</v>
      </c>
      <c r="F49" s="24" t="s">
        <v>304</v>
      </c>
      <c r="G49" s="11">
        <v>45919</v>
      </c>
      <c r="H49" s="46"/>
      <c r="I49" s="46"/>
      <c r="J49" s="46"/>
      <c r="K49" s="46"/>
      <c r="L49" s="46"/>
      <c r="M49" s="46"/>
      <c r="N49" s="46"/>
      <c r="O49" s="46"/>
      <c r="P49" s="46" t="s">
        <v>382</v>
      </c>
      <c r="Q49" s="46"/>
      <c r="R49" s="46"/>
      <c r="S49" s="46"/>
    </row>
    <row r="50" spans="1:19" customFormat="1">
      <c r="A50" s="37" t="s">
        <v>45</v>
      </c>
      <c r="B50" s="37" t="s">
        <v>90</v>
      </c>
      <c r="C50" s="43">
        <v>1420953</v>
      </c>
      <c r="D50" s="44">
        <v>42429</v>
      </c>
      <c r="E50" s="45">
        <v>4089</v>
      </c>
      <c r="F50" s="24" t="s">
        <v>303</v>
      </c>
      <c r="G50" s="11">
        <v>45921</v>
      </c>
      <c r="H50" s="46"/>
      <c r="I50" s="46"/>
      <c r="J50" s="46"/>
      <c r="K50" s="46"/>
      <c r="L50" s="46"/>
      <c r="M50" s="46"/>
      <c r="N50" s="46" t="s">
        <v>306</v>
      </c>
      <c r="O50" s="46"/>
      <c r="P50" s="46"/>
      <c r="Q50" s="46"/>
      <c r="R50" s="46"/>
      <c r="S50" s="46"/>
    </row>
    <row r="51" spans="1:19" customFormat="1">
      <c r="A51" s="37" t="s">
        <v>45</v>
      </c>
      <c r="B51" s="37" t="s">
        <v>91</v>
      </c>
      <c r="C51" s="43">
        <v>1426595</v>
      </c>
      <c r="D51" s="44">
        <v>42429</v>
      </c>
      <c r="E51" s="45">
        <v>570</v>
      </c>
      <c r="F51" s="24" t="s">
        <v>303</v>
      </c>
      <c r="G51" s="11">
        <v>45929</v>
      </c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</row>
    <row r="52" spans="1:19" customFormat="1">
      <c r="A52" s="37" t="s">
        <v>45</v>
      </c>
      <c r="B52" s="37" t="s">
        <v>92</v>
      </c>
      <c r="C52" s="43">
        <v>1407065</v>
      </c>
      <c r="D52" s="44">
        <v>42400</v>
      </c>
      <c r="E52" s="45">
        <v>6397</v>
      </c>
      <c r="F52" s="24" t="s">
        <v>304</v>
      </c>
      <c r="G52" s="11">
        <v>45916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</row>
    <row r="53" spans="1:19" customFormat="1">
      <c r="A53" s="37" t="s">
        <v>45</v>
      </c>
      <c r="B53" s="37" t="s">
        <v>93</v>
      </c>
      <c r="C53" s="43">
        <v>1368856</v>
      </c>
      <c r="D53" s="44">
        <v>42400</v>
      </c>
      <c r="E53" s="45">
        <v>5182</v>
      </c>
      <c r="F53" s="24" t="s">
        <v>303</v>
      </c>
      <c r="G53" s="11">
        <v>45917</v>
      </c>
      <c r="H53" s="46"/>
      <c r="I53" s="46"/>
      <c r="J53" s="46" t="s">
        <v>382</v>
      </c>
      <c r="K53" s="46"/>
      <c r="L53" s="46"/>
      <c r="M53" s="46"/>
      <c r="N53" s="46"/>
      <c r="O53" s="46"/>
      <c r="P53" s="46"/>
      <c r="Q53" s="46"/>
      <c r="R53" s="46"/>
      <c r="S53" s="46"/>
    </row>
    <row r="54" spans="1:19" customFormat="1">
      <c r="A54" s="37" t="s">
        <v>45</v>
      </c>
      <c r="B54" s="37" t="s">
        <v>94</v>
      </c>
      <c r="C54" s="43">
        <v>1219726</v>
      </c>
      <c r="D54" s="44">
        <v>42978</v>
      </c>
      <c r="E54" s="45">
        <v>4502</v>
      </c>
      <c r="F54" s="24" t="s">
        <v>303</v>
      </c>
      <c r="G54" s="11">
        <v>45921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</row>
    <row r="55" spans="1:19" customFormat="1">
      <c r="A55" s="37" t="s">
        <v>45</v>
      </c>
      <c r="B55" s="37" t="s">
        <v>95</v>
      </c>
      <c r="C55" s="43">
        <v>1456449</v>
      </c>
      <c r="D55" s="44">
        <v>42400</v>
      </c>
      <c r="E55" s="45">
        <v>4585</v>
      </c>
      <c r="F55" s="24" t="s">
        <v>303</v>
      </c>
      <c r="G55" s="11">
        <v>45920</v>
      </c>
      <c r="H55" s="46"/>
      <c r="I55" s="46" t="s">
        <v>306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 spans="1:19" customFormat="1">
      <c r="A56" s="37" t="s">
        <v>45</v>
      </c>
      <c r="B56" s="37" t="s">
        <v>97</v>
      </c>
      <c r="C56" s="43">
        <v>1393191</v>
      </c>
      <c r="D56" s="44">
        <v>42400</v>
      </c>
      <c r="E56" s="45">
        <v>572</v>
      </c>
      <c r="F56" s="24" t="s">
        <v>303</v>
      </c>
      <c r="G56" s="11">
        <v>45929</v>
      </c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 spans="1:19" customFormat="1">
      <c r="A57" s="37" t="s">
        <v>45</v>
      </c>
      <c r="B57" s="37" t="s">
        <v>98</v>
      </c>
      <c r="C57" s="43">
        <v>1267989</v>
      </c>
      <c r="D57" s="44">
        <v>42916</v>
      </c>
      <c r="E57" s="45">
        <v>1050</v>
      </c>
      <c r="F57" s="24" t="s">
        <v>303</v>
      </c>
      <c r="G57" s="11">
        <v>45929</v>
      </c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 t="s">
        <v>382</v>
      </c>
      <c r="S57" s="46"/>
    </row>
    <row r="58" spans="1:19" customFormat="1">
      <c r="A58" s="37" t="s">
        <v>45</v>
      </c>
      <c r="B58" s="37" t="s">
        <v>99</v>
      </c>
      <c r="C58" s="43">
        <v>1250312</v>
      </c>
      <c r="D58" s="44">
        <v>42947</v>
      </c>
      <c r="E58" s="45">
        <v>896</v>
      </c>
      <c r="F58" s="24" t="s">
        <v>303</v>
      </c>
      <c r="G58" s="11">
        <v>45929</v>
      </c>
      <c r="H58" s="46"/>
      <c r="I58" s="46"/>
      <c r="J58" s="46"/>
      <c r="K58" s="46"/>
      <c r="L58" s="46"/>
      <c r="M58" s="46"/>
      <c r="N58" s="46"/>
      <c r="O58" s="46"/>
      <c r="P58" s="46"/>
      <c r="Q58" s="46" t="s">
        <v>382</v>
      </c>
      <c r="R58" s="46"/>
      <c r="S58" s="46"/>
    </row>
    <row r="59" spans="1:19" customFormat="1">
      <c r="A59" s="37" t="s">
        <v>45</v>
      </c>
      <c r="B59" s="37" t="s">
        <v>100</v>
      </c>
      <c r="C59" s="43">
        <v>1331113</v>
      </c>
      <c r="D59" s="44">
        <v>42704</v>
      </c>
      <c r="E59" s="45">
        <v>1071</v>
      </c>
      <c r="F59" s="24" t="s">
        <v>303</v>
      </c>
      <c r="G59" s="11">
        <v>45928</v>
      </c>
      <c r="H59" s="46"/>
      <c r="I59" s="46"/>
      <c r="J59" s="46"/>
      <c r="K59" s="46"/>
      <c r="L59" s="46"/>
      <c r="M59" s="46" t="s">
        <v>382</v>
      </c>
      <c r="N59" s="46"/>
      <c r="O59" s="46"/>
      <c r="P59" s="46"/>
      <c r="Q59" s="46"/>
      <c r="R59" s="46"/>
      <c r="S59" s="46"/>
    </row>
    <row r="60" spans="1:19" customFormat="1">
      <c r="A60" s="37" t="s">
        <v>45</v>
      </c>
      <c r="B60" s="37" t="s">
        <v>101</v>
      </c>
      <c r="C60" s="43">
        <v>1350071</v>
      </c>
      <c r="D60" s="44">
        <v>42613</v>
      </c>
      <c r="E60" s="45">
        <v>4302</v>
      </c>
      <c r="F60" s="24" t="s">
        <v>303</v>
      </c>
      <c r="G60" s="11">
        <v>45911</v>
      </c>
      <c r="H60" s="46"/>
      <c r="I60" s="46"/>
      <c r="J60" s="46"/>
      <c r="K60" s="46"/>
      <c r="L60" s="46" t="s">
        <v>382</v>
      </c>
      <c r="M60" s="46"/>
      <c r="N60" s="46"/>
      <c r="O60" s="46"/>
      <c r="P60" s="46"/>
      <c r="Q60" s="46"/>
      <c r="R60" s="46"/>
      <c r="S60" s="46"/>
    </row>
    <row r="61" spans="1:19" customFormat="1">
      <c r="A61" s="37" t="s">
        <v>45</v>
      </c>
      <c r="B61" s="37" t="s">
        <v>102</v>
      </c>
      <c r="C61" s="43">
        <v>1335281</v>
      </c>
      <c r="D61" s="44">
        <v>42704</v>
      </c>
      <c r="E61" s="45">
        <v>6037</v>
      </c>
      <c r="F61" s="24" t="s">
        <v>303</v>
      </c>
      <c r="G61" s="11">
        <v>45917</v>
      </c>
      <c r="H61" s="46"/>
      <c r="I61" s="46"/>
      <c r="J61" s="46"/>
      <c r="K61" s="46"/>
      <c r="L61" s="46"/>
      <c r="M61" s="46" t="s">
        <v>382</v>
      </c>
      <c r="N61" s="46"/>
      <c r="O61" s="46"/>
      <c r="P61" s="46"/>
      <c r="Q61" s="46"/>
      <c r="R61" s="46"/>
      <c r="S61" s="46"/>
    </row>
    <row r="62" spans="1:19" customFormat="1">
      <c r="A62" s="37" t="s">
        <v>45</v>
      </c>
      <c r="B62" s="37" t="s">
        <v>103</v>
      </c>
      <c r="C62" s="43">
        <v>1409106</v>
      </c>
      <c r="D62" s="44">
        <v>42460</v>
      </c>
      <c r="E62" s="45">
        <v>5996</v>
      </c>
      <c r="F62" s="24" t="s">
        <v>303</v>
      </c>
      <c r="G62" s="11">
        <v>45918</v>
      </c>
      <c r="H62" s="46"/>
      <c r="I62" s="46"/>
      <c r="J62" s="46"/>
      <c r="K62" s="46"/>
      <c r="L62" s="46"/>
      <c r="M62" s="46"/>
      <c r="N62" s="46"/>
      <c r="O62" s="46"/>
      <c r="P62" s="46"/>
      <c r="Q62" s="46" t="s">
        <v>306</v>
      </c>
      <c r="R62" s="46"/>
      <c r="S62" s="46"/>
    </row>
    <row r="63" spans="1:19" customFormat="1">
      <c r="A63" s="37" t="s">
        <v>45</v>
      </c>
      <c r="B63" s="37" t="s">
        <v>104</v>
      </c>
      <c r="C63" s="43">
        <v>1246028</v>
      </c>
      <c r="D63" s="44">
        <v>42978</v>
      </c>
      <c r="E63" s="45">
        <v>1400</v>
      </c>
      <c r="F63" s="24" t="s">
        <v>303</v>
      </c>
      <c r="G63" s="11">
        <v>45928</v>
      </c>
      <c r="H63" s="46"/>
      <c r="I63" s="46"/>
      <c r="J63" s="46"/>
      <c r="K63" s="46"/>
      <c r="L63" s="46"/>
      <c r="M63" s="46"/>
      <c r="N63" s="46"/>
      <c r="O63" s="46"/>
      <c r="P63" s="46"/>
      <c r="Q63" s="46" t="s">
        <v>382</v>
      </c>
      <c r="R63" s="46"/>
      <c r="S63" s="46"/>
    </row>
    <row r="64" spans="1:19" customFormat="1">
      <c r="A64" s="37" t="s">
        <v>45</v>
      </c>
      <c r="B64" s="37" t="s">
        <v>105</v>
      </c>
      <c r="C64" s="43">
        <v>1406400</v>
      </c>
      <c r="D64" s="44">
        <v>43822</v>
      </c>
      <c r="E64" s="45">
        <v>5244</v>
      </c>
      <c r="F64" s="24" t="s">
        <v>303</v>
      </c>
      <c r="G64" s="11">
        <v>45915</v>
      </c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 t="s">
        <v>382</v>
      </c>
      <c r="S64" s="46"/>
    </row>
    <row r="65" spans="1:19" customFormat="1">
      <c r="A65" s="37" t="s">
        <v>45</v>
      </c>
      <c r="B65" s="37" t="s">
        <v>106</v>
      </c>
      <c r="C65" s="43">
        <v>1221702</v>
      </c>
      <c r="D65" s="44">
        <v>43008</v>
      </c>
      <c r="E65" s="45">
        <v>508</v>
      </c>
      <c r="F65" s="24" t="s">
        <v>303</v>
      </c>
      <c r="G65" s="11">
        <v>45930</v>
      </c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</row>
    <row r="66" spans="1:19" customFormat="1">
      <c r="A66" s="37" t="s">
        <v>45</v>
      </c>
      <c r="B66" s="37" t="s">
        <v>107</v>
      </c>
      <c r="C66" s="43">
        <v>1338446</v>
      </c>
      <c r="D66" s="44">
        <v>42613</v>
      </c>
      <c r="E66" s="45">
        <v>2949</v>
      </c>
      <c r="F66" s="24" t="s">
        <v>303</v>
      </c>
      <c r="G66" s="11">
        <v>45923</v>
      </c>
      <c r="H66" s="46"/>
      <c r="I66" s="46"/>
      <c r="J66" s="46"/>
      <c r="K66" s="46"/>
      <c r="L66" s="46"/>
      <c r="M66" s="46" t="s">
        <v>382</v>
      </c>
      <c r="N66" s="46"/>
      <c r="O66" s="46"/>
      <c r="P66" s="46"/>
      <c r="Q66" s="46"/>
      <c r="R66" s="46"/>
      <c r="S66" s="46"/>
    </row>
    <row r="67" spans="1:19" customFormat="1">
      <c r="A67" s="37" t="s">
        <v>45</v>
      </c>
      <c r="B67" s="37" t="s">
        <v>108</v>
      </c>
      <c r="C67" s="43">
        <v>1415505</v>
      </c>
      <c r="D67" s="44">
        <v>42460</v>
      </c>
      <c r="E67" s="45">
        <v>2497</v>
      </c>
      <c r="F67" s="24" t="s">
        <v>303</v>
      </c>
      <c r="G67" s="11">
        <v>45924</v>
      </c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</row>
    <row r="68" spans="1:19" customFormat="1">
      <c r="A68" s="37" t="s">
        <v>45</v>
      </c>
      <c r="B68" s="37" t="s">
        <v>109</v>
      </c>
      <c r="C68" s="43">
        <v>1351363</v>
      </c>
      <c r="D68" s="44">
        <v>42735</v>
      </c>
      <c r="E68" s="45">
        <v>5058</v>
      </c>
      <c r="F68" s="24" t="s">
        <v>303</v>
      </c>
      <c r="G68" s="11">
        <v>45919</v>
      </c>
      <c r="H68" s="46"/>
      <c r="I68" s="46"/>
      <c r="J68" s="46"/>
      <c r="K68" s="46"/>
      <c r="L68" s="46" t="s">
        <v>382</v>
      </c>
      <c r="M68" s="46"/>
      <c r="N68" s="46"/>
      <c r="O68" s="46"/>
      <c r="P68" s="46"/>
      <c r="Q68" s="46"/>
      <c r="R68" s="46"/>
      <c r="S68" s="46"/>
    </row>
    <row r="69" spans="1:19" customFormat="1">
      <c r="A69" s="37" t="s">
        <v>45</v>
      </c>
      <c r="B69" s="37" t="s">
        <v>110</v>
      </c>
      <c r="C69" s="43">
        <v>1401562</v>
      </c>
      <c r="D69" s="44">
        <v>42400</v>
      </c>
      <c r="E69" s="45">
        <v>2965</v>
      </c>
      <c r="F69" s="24" t="s">
        <v>303</v>
      </c>
      <c r="G69" s="11">
        <v>45923</v>
      </c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</row>
    <row r="70" spans="1:19" customFormat="1">
      <c r="A70" s="37" t="s">
        <v>45</v>
      </c>
      <c r="B70" s="37" t="s">
        <v>111</v>
      </c>
      <c r="C70" s="43">
        <v>1408505</v>
      </c>
      <c r="D70" s="44">
        <v>42400</v>
      </c>
      <c r="E70" s="45">
        <v>3755</v>
      </c>
      <c r="F70" s="24" t="s">
        <v>304</v>
      </c>
      <c r="G70" s="11">
        <v>45918</v>
      </c>
      <c r="H70" s="46"/>
      <c r="I70" s="46"/>
      <c r="J70" s="46"/>
      <c r="K70" s="46"/>
      <c r="L70" s="46"/>
      <c r="M70" s="46"/>
      <c r="N70" s="46"/>
      <c r="O70" s="46"/>
      <c r="P70" s="46" t="s">
        <v>306</v>
      </c>
      <c r="Q70" s="46"/>
      <c r="R70" s="46"/>
      <c r="S70" s="46"/>
    </row>
    <row r="71" spans="1:19" customFormat="1">
      <c r="A71" s="37" t="s">
        <v>45</v>
      </c>
      <c r="B71" s="37" t="s">
        <v>112</v>
      </c>
      <c r="C71" s="43">
        <v>1366526</v>
      </c>
      <c r="D71" s="44">
        <v>42400</v>
      </c>
      <c r="E71" s="45">
        <v>2992</v>
      </c>
      <c r="F71" s="24" t="s">
        <v>304</v>
      </c>
      <c r="G71" s="11">
        <v>45923</v>
      </c>
      <c r="H71" s="46"/>
      <c r="I71" s="46"/>
      <c r="J71" s="46" t="s">
        <v>382</v>
      </c>
      <c r="K71" s="46"/>
      <c r="L71" s="46"/>
      <c r="M71" s="46"/>
      <c r="N71" s="46"/>
      <c r="O71" s="46"/>
      <c r="P71" s="46"/>
      <c r="Q71" s="46"/>
      <c r="R71" s="46"/>
      <c r="S71" s="46"/>
    </row>
    <row r="72" spans="1:19" customFormat="1">
      <c r="A72" s="37" t="s">
        <v>45</v>
      </c>
      <c r="B72" s="37" t="s">
        <v>113</v>
      </c>
      <c r="C72" s="43">
        <v>1379889</v>
      </c>
      <c r="D72" s="44">
        <v>42400</v>
      </c>
      <c r="E72" s="45">
        <v>4488</v>
      </c>
      <c r="F72" s="24" t="s">
        <v>304</v>
      </c>
      <c r="G72" s="11">
        <v>45920</v>
      </c>
      <c r="H72" s="46" t="s">
        <v>382</v>
      </c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</row>
    <row r="73" spans="1:19" customFormat="1">
      <c r="A73" s="37" t="s">
        <v>45</v>
      </c>
      <c r="B73" s="37" t="s">
        <v>114</v>
      </c>
      <c r="C73" s="43">
        <v>1401682</v>
      </c>
      <c r="D73" s="44">
        <v>42400</v>
      </c>
      <c r="E73" s="45">
        <v>3084</v>
      </c>
      <c r="F73" s="24" t="s">
        <v>303</v>
      </c>
      <c r="G73" s="11">
        <v>45923</v>
      </c>
      <c r="H73" s="46"/>
      <c r="I73" s="46"/>
      <c r="J73" s="46"/>
      <c r="K73" s="46"/>
      <c r="L73" s="46"/>
      <c r="M73" s="46"/>
      <c r="N73" s="46" t="s">
        <v>306</v>
      </c>
      <c r="O73" s="46"/>
      <c r="P73" s="46"/>
      <c r="Q73" s="46"/>
      <c r="R73" s="46"/>
      <c r="S73" s="46"/>
    </row>
    <row r="74" spans="1:19" customFormat="1">
      <c r="A74" s="37" t="s">
        <v>45</v>
      </c>
      <c r="B74" s="37" t="s">
        <v>115</v>
      </c>
      <c r="C74" s="43">
        <v>1317065</v>
      </c>
      <c r="D74" s="44">
        <v>42766</v>
      </c>
      <c r="E74" s="45">
        <v>3</v>
      </c>
      <c r="F74" s="24" t="s">
        <v>303</v>
      </c>
      <c r="G74" s="11">
        <v>45930</v>
      </c>
      <c r="H74" s="46"/>
      <c r="I74" s="46"/>
      <c r="J74" s="46"/>
      <c r="K74" s="46"/>
      <c r="L74" s="46"/>
      <c r="M74" s="46"/>
      <c r="N74" s="46" t="s">
        <v>382</v>
      </c>
      <c r="O74" s="46"/>
      <c r="P74" s="46"/>
      <c r="Q74" s="46"/>
      <c r="R74" s="46"/>
      <c r="S74" s="46"/>
    </row>
    <row r="75" spans="1:19" customFormat="1">
      <c r="A75" s="37" t="s">
        <v>45</v>
      </c>
      <c r="B75" s="37" t="s">
        <v>116</v>
      </c>
      <c r="C75" s="43">
        <v>1294763</v>
      </c>
      <c r="D75" s="44">
        <v>42794</v>
      </c>
      <c r="E75" s="45">
        <v>4138</v>
      </c>
      <c r="F75" s="24" t="s">
        <v>304</v>
      </c>
      <c r="G75" s="11">
        <v>45919</v>
      </c>
      <c r="H75" s="46"/>
      <c r="I75" s="46"/>
      <c r="J75" s="46"/>
      <c r="K75" s="46"/>
      <c r="L75" s="46"/>
      <c r="M75" s="46"/>
      <c r="N75" s="46"/>
      <c r="O75" s="46"/>
      <c r="P75" s="46" t="s">
        <v>382</v>
      </c>
      <c r="Q75" s="46"/>
      <c r="R75" s="46"/>
      <c r="S75" s="46"/>
    </row>
    <row r="76" spans="1:19" customFormat="1">
      <c r="A76" s="37" t="s">
        <v>45</v>
      </c>
      <c r="B76" s="37" t="s">
        <v>117</v>
      </c>
      <c r="C76" s="43">
        <v>1394311</v>
      </c>
      <c r="D76" s="44">
        <v>42613</v>
      </c>
      <c r="E76" s="45">
        <v>1678</v>
      </c>
      <c r="F76" s="24" t="s">
        <v>304</v>
      </c>
      <c r="G76" s="11">
        <v>45926</v>
      </c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</row>
    <row r="77" spans="1:19" customFormat="1">
      <c r="A77" s="37" t="s">
        <v>45</v>
      </c>
      <c r="B77" s="37" t="s">
        <v>118</v>
      </c>
      <c r="C77" s="43">
        <v>1191237</v>
      </c>
      <c r="D77" s="44">
        <v>43008</v>
      </c>
      <c r="E77" s="45">
        <v>1197</v>
      </c>
      <c r="F77" s="24" t="s">
        <v>304</v>
      </c>
      <c r="G77" s="11">
        <v>45925</v>
      </c>
      <c r="H77" s="46" t="s">
        <v>306</v>
      </c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</row>
    <row r="78" spans="1:19" customFormat="1">
      <c r="A78" s="37" t="s">
        <v>45</v>
      </c>
      <c r="B78" s="37" t="s">
        <v>119</v>
      </c>
      <c r="C78" s="43">
        <v>1277704</v>
      </c>
      <c r="D78" s="44">
        <v>42916</v>
      </c>
      <c r="E78" s="45">
        <v>1970</v>
      </c>
      <c r="F78" s="24" t="s">
        <v>303</v>
      </c>
      <c r="G78" s="11">
        <v>45925</v>
      </c>
      <c r="H78" s="46"/>
      <c r="I78" s="46"/>
      <c r="J78" s="46"/>
      <c r="K78" s="46"/>
      <c r="L78" s="46"/>
      <c r="M78" s="46"/>
      <c r="N78" s="46"/>
      <c r="O78" s="46" t="s">
        <v>382</v>
      </c>
      <c r="P78" s="46"/>
      <c r="Q78" s="46"/>
      <c r="R78" s="46"/>
      <c r="S78" s="46"/>
    </row>
    <row r="79" spans="1:19" customFormat="1">
      <c r="A79" s="37" t="s">
        <v>45</v>
      </c>
      <c r="B79" s="37" t="s">
        <v>120</v>
      </c>
      <c r="C79" s="43">
        <v>1303861</v>
      </c>
      <c r="D79" s="44">
        <v>42704</v>
      </c>
      <c r="E79" s="45">
        <v>2330</v>
      </c>
      <c r="F79" s="24" t="s">
        <v>303</v>
      </c>
      <c r="G79" s="11">
        <v>45926</v>
      </c>
      <c r="H79" s="46"/>
      <c r="I79" s="46"/>
      <c r="J79" s="46"/>
      <c r="K79" s="46"/>
      <c r="L79" s="46"/>
      <c r="M79" s="46"/>
      <c r="N79" s="46"/>
      <c r="O79" s="46" t="s">
        <v>382</v>
      </c>
      <c r="P79" s="46"/>
      <c r="Q79" s="46"/>
      <c r="R79" s="46"/>
      <c r="S79" s="46"/>
    </row>
    <row r="80" spans="1:19" customFormat="1">
      <c r="A80" s="37" t="s">
        <v>45</v>
      </c>
      <c r="B80" s="37" t="s">
        <v>121</v>
      </c>
      <c r="C80" s="43">
        <v>1202929</v>
      </c>
      <c r="D80" s="44">
        <v>43008</v>
      </c>
      <c r="E80" s="45">
        <v>4553</v>
      </c>
      <c r="F80" s="24" t="s">
        <v>303</v>
      </c>
      <c r="G80" s="11">
        <v>45920</v>
      </c>
      <c r="H80" s="46" t="s">
        <v>306</v>
      </c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</row>
    <row r="81" spans="1:20" customFormat="1">
      <c r="A81" s="37" t="s">
        <v>45</v>
      </c>
      <c r="B81" s="37" t="s">
        <v>122</v>
      </c>
      <c r="C81" s="43">
        <v>1432001</v>
      </c>
      <c r="D81" s="44">
        <v>42400</v>
      </c>
      <c r="E81" s="45">
        <v>5993</v>
      </c>
      <c r="F81" s="24" t="s">
        <v>304</v>
      </c>
      <c r="G81" s="11">
        <v>45917</v>
      </c>
      <c r="H81" s="46"/>
      <c r="I81" s="46"/>
      <c r="J81" s="46"/>
      <c r="K81" s="46" t="s">
        <v>306</v>
      </c>
      <c r="L81" s="46"/>
      <c r="M81" s="46"/>
      <c r="N81" s="46"/>
      <c r="O81" s="46"/>
      <c r="P81" s="46"/>
      <c r="Q81" s="46"/>
      <c r="R81" s="46"/>
      <c r="S81" s="46"/>
    </row>
    <row r="82" spans="1:20" customFormat="1">
      <c r="A82" s="37" t="s">
        <v>45</v>
      </c>
      <c r="B82" s="37" t="s">
        <v>123</v>
      </c>
      <c r="C82" s="43">
        <v>1402488</v>
      </c>
      <c r="D82" s="44">
        <v>42400</v>
      </c>
      <c r="E82" s="45">
        <v>1345</v>
      </c>
      <c r="F82" s="24" t="s">
        <v>303</v>
      </c>
      <c r="G82" s="11">
        <v>45927</v>
      </c>
      <c r="H82" s="46"/>
      <c r="I82" s="46"/>
      <c r="J82" s="46"/>
      <c r="K82" s="46"/>
      <c r="L82" s="46"/>
      <c r="M82" s="46"/>
      <c r="N82" s="46"/>
      <c r="O82" s="46"/>
      <c r="P82" s="46"/>
      <c r="Q82" s="46" t="s">
        <v>306</v>
      </c>
      <c r="R82" s="46"/>
      <c r="S82" s="46"/>
    </row>
    <row r="83" spans="1:20" customFormat="1">
      <c r="A83" s="37" t="s">
        <v>45</v>
      </c>
      <c r="B83" s="37" t="s">
        <v>124</v>
      </c>
      <c r="C83" s="43">
        <v>1112068</v>
      </c>
      <c r="D83" s="44">
        <v>43280</v>
      </c>
      <c r="E83" s="45">
        <v>2437</v>
      </c>
      <c r="F83" s="24" t="s">
        <v>303</v>
      </c>
      <c r="G83" s="11">
        <v>45924</v>
      </c>
      <c r="H83" s="46" t="s">
        <v>306</v>
      </c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</row>
    <row r="84" spans="1:20" customFormat="1">
      <c r="A84" s="37" t="s">
        <v>45</v>
      </c>
      <c r="B84" s="37" t="s">
        <v>125</v>
      </c>
      <c r="C84" s="43">
        <v>1398774</v>
      </c>
      <c r="D84" s="44">
        <v>42551</v>
      </c>
      <c r="E84" s="45">
        <v>1559</v>
      </c>
      <c r="F84" s="24" t="s">
        <v>303</v>
      </c>
      <c r="G84" s="11">
        <v>45925</v>
      </c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 t="s">
        <v>306</v>
      </c>
    </row>
    <row r="85" spans="1:20" customFormat="1">
      <c r="A85" s="37" t="s">
        <v>45</v>
      </c>
      <c r="B85" s="37" t="s">
        <v>126</v>
      </c>
      <c r="C85" s="43">
        <v>1311558</v>
      </c>
      <c r="D85" s="44">
        <v>42766</v>
      </c>
      <c r="E85" s="45">
        <v>1423</v>
      </c>
      <c r="F85" s="24" t="s">
        <v>303</v>
      </c>
      <c r="G85" s="11">
        <v>45926</v>
      </c>
      <c r="H85" s="46"/>
      <c r="I85" s="46"/>
      <c r="J85" s="46"/>
      <c r="K85" s="46"/>
      <c r="L85" s="46"/>
      <c r="M85" s="46"/>
      <c r="N85" s="46"/>
      <c r="O85" s="46" t="s">
        <v>382</v>
      </c>
      <c r="P85" s="46"/>
      <c r="Q85" s="46"/>
      <c r="R85" s="46"/>
      <c r="S85" s="46"/>
    </row>
    <row r="86" spans="1:20" customFormat="1">
      <c r="A86" s="37" t="s">
        <v>45</v>
      </c>
      <c r="B86" s="37" t="s">
        <v>127</v>
      </c>
      <c r="C86" s="43">
        <v>1409072</v>
      </c>
      <c r="D86" s="44">
        <v>42490</v>
      </c>
      <c r="E86" s="45">
        <v>3532</v>
      </c>
      <c r="F86" s="24" t="s">
        <v>303</v>
      </c>
      <c r="G86" s="11">
        <v>45922</v>
      </c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 t="s">
        <v>306</v>
      </c>
    </row>
    <row r="87" spans="1:20" customFormat="1">
      <c r="A87" s="37" t="s">
        <v>45</v>
      </c>
      <c r="B87" s="37" t="s">
        <v>128</v>
      </c>
      <c r="C87" s="43">
        <v>1355046</v>
      </c>
      <c r="D87" s="44">
        <v>42490</v>
      </c>
      <c r="E87" s="45">
        <v>1831</v>
      </c>
      <c r="F87" s="24" t="s">
        <v>303</v>
      </c>
      <c r="G87" s="11">
        <v>45925</v>
      </c>
      <c r="H87" s="46"/>
      <c r="I87" s="46"/>
      <c r="J87" s="46"/>
      <c r="K87" s="46" t="s">
        <v>382</v>
      </c>
      <c r="L87" s="46"/>
      <c r="M87" s="46"/>
      <c r="N87" s="46"/>
      <c r="O87" s="46"/>
      <c r="P87" s="46"/>
      <c r="Q87" s="46"/>
      <c r="R87" s="46"/>
      <c r="S87" s="46"/>
    </row>
    <row r="88" spans="1:20" customFormat="1">
      <c r="A88" s="37" t="s">
        <v>45</v>
      </c>
      <c r="B88" s="37" t="s">
        <v>129</v>
      </c>
      <c r="C88" s="43">
        <v>1410499</v>
      </c>
      <c r="D88" s="44">
        <v>42400</v>
      </c>
      <c r="E88" s="45">
        <v>4079</v>
      </c>
      <c r="F88" s="24" t="s">
        <v>303</v>
      </c>
      <c r="G88" s="11">
        <v>45921</v>
      </c>
      <c r="H88" s="46"/>
      <c r="I88" s="46"/>
      <c r="J88" s="46"/>
      <c r="K88" s="46"/>
      <c r="L88" s="46"/>
      <c r="M88" s="46"/>
      <c r="N88" s="46" t="s">
        <v>306</v>
      </c>
      <c r="O88" s="46"/>
      <c r="P88" s="46"/>
      <c r="Q88" s="46"/>
      <c r="R88" s="46"/>
      <c r="S88" s="46"/>
    </row>
    <row r="89" spans="1:20" customFormat="1">
      <c r="A89" s="37" t="s">
        <v>45</v>
      </c>
      <c r="B89" s="37" t="s">
        <v>130</v>
      </c>
      <c r="C89" s="43">
        <v>1335844</v>
      </c>
      <c r="D89" s="44">
        <v>42735</v>
      </c>
      <c r="E89" s="45">
        <v>3220</v>
      </c>
      <c r="F89" s="24" t="s">
        <v>303</v>
      </c>
      <c r="G89" s="11">
        <v>45922</v>
      </c>
      <c r="H89" s="46"/>
      <c r="I89" s="46"/>
      <c r="J89" s="46"/>
      <c r="K89" s="46" t="s">
        <v>382</v>
      </c>
      <c r="L89" s="46"/>
      <c r="M89" s="46"/>
      <c r="N89" s="46"/>
      <c r="O89" s="46"/>
      <c r="P89" s="46"/>
      <c r="Q89" s="46"/>
      <c r="R89" s="46"/>
      <c r="S89" s="46"/>
    </row>
    <row r="90" spans="1:20" customFormat="1">
      <c r="A90" s="37" t="s">
        <v>45</v>
      </c>
      <c r="B90" s="37" t="s">
        <v>131</v>
      </c>
      <c r="C90" s="43">
        <v>1320439</v>
      </c>
      <c r="D90" s="44">
        <v>42794</v>
      </c>
      <c r="E90" s="45">
        <v>566</v>
      </c>
      <c r="F90" s="45" t="s">
        <v>303</v>
      </c>
      <c r="G90" s="11">
        <v>45930</v>
      </c>
      <c r="H90" s="46"/>
      <c r="I90" s="46"/>
      <c r="J90" s="46"/>
      <c r="K90" s="46"/>
      <c r="L90" s="46"/>
      <c r="M90" s="46"/>
      <c r="N90" s="46" t="s">
        <v>382</v>
      </c>
      <c r="O90" s="46"/>
      <c r="P90" s="46"/>
      <c r="Q90" s="46"/>
      <c r="R90" s="46"/>
      <c r="S90" s="46"/>
    </row>
    <row r="91" spans="1:20" customFormat="1">
      <c r="A91" s="37" t="s">
        <v>45</v>
      </c>
      <c r="B91" s="37" t="s">
        <v>132</v>
      </c>
      <c r="C91" s="43">
        <v>1256998</v>
      </c>
      <c r="D91" s="44">
        <v>42978</v>
      </c>
      <c r="E91" s="45">
        <v>5017</v>
      </c>
      <c r="F91" s="24" t="s">
        <v>303</v>
      </c>
      <c r="G91" s="11">
        <v>45915</v>
      </c>
      <c r="H91" s="46"/>
      <c r="I91" s="46"/>
      <c r="J91" s="46"/>
      <c r="K91" s="46"/>
      <c r="L91" s="46"/>
      <c r="M91" s="46"/>
      <c r="N91" s="46"/>
      <c r="O91" s="46"/>
      <c r="P91" s="46" t="s">
        <v>382</v>
      </c>
      <c r="Q91" s="46"/>
      <c r="R91" s="46"/>
      <c r="S91" s="46"/>
    </row>
    <row r="92" spans="1:20" customFormat="1">
      <c r="A92" s="37" t="s">
        <v>45</v>
      </c>
      <c r="B92" s="37" t="s">
        <v>133</v>
      </c>
      <c r="C92" s="43">
        <v>1368259</v>
      </c>
      <c r="D92" s="44">
        <v>42704</v>
      </c>
      <c r="E92" s="45">
        <v>3369</v>
      </c>
      <c r="F92" s="24" t="s">
        <v>304</v>
      </c>
      <c r="G92" s="11">
        <v>45924</v>
      </c>
      <c r="H92" s="46"/>
      <c r="I92" s="46"/>
      <c r="J92" s="46" t="s">
        <v>382</v>
      </c>
      <c r="K92" s="46"/>
      <c r="L92" s="46"/>
      <c r="M92" s="46"/>
      <c r="N92" s="46"/>
      <c r="O92" s="46"/>
      <c r="P92" s="46"/>
      <c r="Q92" s="46"/>
      <c r="R92" s="46"/>
      <c r="S92" s="46"/>
    </row>
    <row r="93" spans="1:20" customFormat="1">
      <c r="A93" s="37" t="s">
        <v>45</v>
      </c>
      <c r="B93" s="37" t="s">
        <v>134</v>
      </c>
      <c r="C93" s="43">
        <v>1292048</v>
      </c>
      <c r="D93" s="44">
        <v>42916</v>
      </c>
      <c r="E93" s="45">
        <v>4409</v>
      </c>
      <c r="F93" s="24" t="s">
        <v>304</v>
      </c>
      <c r="G93" s="11">
        <v>45922</v>
      </c>
      <c r="H93" s="46"/>
      <c r="I93" s="46"/>
      <c r="J93" s="46"/>
      <c r="K93" s="46"/>
      <c r="L93" s="46"/>
      <c r="M93" s="46"/>
      <c r="N93" s="46"/>
      <c r="O93" s="46"/>
      <c r="P93" s="46" t="s">
        <v>382</v>
      </c>
      <c r="Q93" s="46"/>
      <c r="R93" s="46"/>
      <c r="S93" s="46"/>
    </row>
    <row r="94" spans="1:20">
      <c r="A94" s="6"/>
      <c r="B94" s="6"/>
      <c r="F94" s="72" t="s">
        <v>305</v>
      </c>
      <c r="G94" s="13" t="s">
        <v>306</v>
      </c>
      <c r="H94" s="60">
        <f t="shared" ref="H94:S94" si="0">COUNTIF(H10:H93,"A")</f>
        <v>3</v>
      </c>
      <c r="I94" s="60">
        <f t="shared" si="0"/>
        <v>4</v>
      </c>
      <c r="J94" s="60">
        <f t="shared" si="0"/>
        <v>0</v>
      </c>
      <c r="K94" s="60">
        <f t="shared" si="0"/>
        <v>2</v>
      </c>
      <c r="L94" s="60">
        <f t="shared" si="0"/>
        <v>3</v>
      </c>
      <c r="M94" s="60">
        <f t="shared" si="0"/>
        <v>1</v>
      </c>
      <c r="N94" s="60">
        <f t="shared" si="0"/>
        <v>4</v>
      </c>
      <c r="O94" s="60">
        <f t="shared" si="0"/>
        <v>2</v>
      </c>
      <c r="P94" s="60">
        <f t="shared" si="0"/>
        <v>2</v>
      </c>
      <c r="Q94" s="60">
        <f t="shared" si="0"/>
        <v>2</v>
      </c>
      <c r="R94" s="60">
        <f t="shared" si="0"/>
        <v>1</v>
      </c>
      <c r="S94" s="60">
        <f t="shared" si="0"/>
        <v>3</v>
      </c>
      <c r="T94" s="60">
        <f>SUM(H94:S94)</f>
        <v>27</v>
      </c>
    </row>
    <row r="95" spans="1:20">
      <c r="A95" s="8"/>
      <c r="B95" s="8"/>
      <c r="F95" s="72" t="s">
        <v>307</v>
      </c>
      <c r="G95" s="13" t="s">
        <v>382</v>
      </c>
      <c r="H95" s="60">
        <f>COUNTIF(H10:H93,"BA")</f>
        <v>1</v>
      </c>
      <c r="I95" s="60">
        <f t="shared" ref="I95:S95" si="1">COUNTIF(I10:I93,"BA")</f>
        <v>2</v>
      </c>
      <c r="J95" s="60">
        <f t="shared" si="1"/>
        <v>4</v>
      </c>
      <c r="K95" s="60">
        <f t="shared" si="1"/>
        <v>3</v>
      </c>
      <c r="L95" s="60">
        <f t="shared" si="1"/>
        <v>3</v>
      </c>
      <c r="M95" s="60">
        <f t="shared" si="1"/>
        <v>5</v>
      </c>
      <c r="N95" s="60">
        <f t="shared" si="1"/>
        <v>3</v>
      </c>
      <c r="O95" s="60">
        <f t="shared" si="1"/>
        <v>4</v>
      </c>
      <c r="P95" s="60">
        <f t="shared" si="1"/>
        <v>5</v>
      </c>
      <c r="Q95" s="60">
        <f t="shared" si="1"/>
        <v>3</v>
      </c>
      <c r="R95" s="60">
        <f t="shared" si="1"/>
        <v>3</v>
      </c>
      <c r="S95" s="60">
        <f t="shared" si="1"/>
        <v>1</v>
      </c>
      <c r="T95" s="60">
        <f t="shared" ref="T95:T96" si="2">SUM(H95:S95)</f>
        <v>37</v>
      </c>
    </row>
    <row r="96" spans="1:20">
      <c r="A96" s="8"/>
      <c r="B96" s="8"/>
      <c r="F96" s="72" t="s">
        <v>341</v>
      </c>
      <c r="G96" s="13" t="s">
        <v>340</v>
      </c>
      <c r="H96" s="60">
        <f>COUNTIF(H10:H93,"D")</f>
        <v>0</v>
      </c>
      <c r="I96" s="60">
        <f t="shared" ref="I96:S96" si="3">COUNTIF(I10:I93,"D")</f>
        <v>0</v>
      </c>
      <c r="J96" s="60">
        <f t="shared" si="3"/>
        <v>0</v>
      </c>
      <c r="K96" s="60">
        <f t="shared" si="3"/>
        <v>2</v>
      </c>
      <c r="L96" s="60">
        <f t="shared" si="3"/>
        <v>2</v>
      </c>
      <c r="M96" s="60">
        <f t="shared" si="3"/>
        <v>2</v>
      </c>
      <c r="N96" s="60">
        <f t="shared" si="3"/>
        <v>2</v>
      </c>
      <c r="O96" s="60">
        <f t="shared" si="3"/>
        <v>2</v>
      </c>
      <c r="P96" s="60">
        <f t="shared" si="3"/>
        <v>2</v>
      </c>
      <c r="Q96" s="60">
        <f t="shared" si="3"/>
        <v>2</v>
      </c>
      <c r="R96" s="60">
        <f t="shared" si="3"/>
        <v>2</v>
      </c>
      <c r="S96" s="60">
        <f t="shared" si="3"/>
        <v>2</v>
      </c>
      <c r="T96" s="60">
        <f t="shared" si="2"/>
        <v>18</v>
      </c>
    </row>
    <row r="97" spans="1:2">
      <c r="A97" s="7"/>
      <c r="B97" s="7"/>
    </row>
    <row r="98" spans="1:2">
      <c r="A98" s="81" t="s">
        <v>335</v>
      </c>
      <c r="B98" s="6" t="s">
        <v>336</v>
      </c>
    </row>
  </sheetData>
  <autoFilter ref="A9:S96" xr:uid="{00000000-0009-0000-0000-000000000000}">
    <sortState xmlns:xlrd2="http://schemas.microsoft.com/office/spreadsheetml/2017/richdata2" ref="A10:S95">
      <sortCondition ref="B9:B98"/>
    </sortState>
  </autoFilter>
  <mergeCells count="11">
    <mergeCell ref="G1:K2"/>
    <mergeCell ref="G3:K3"/>
    <mergeCell ref="G4:K4"/>
    <mergeCell ref="N4:N5"/>
    <mergeCell ref="E5:F5"/>
    <mergeCell ref="G5:H5"/>
    <mergeCell ref="E6:F6"/>
    <mergeCell ref="G6:H6"/>
    <mergeCell ref="C8:D8"/>
    <mergeCell ref="E8:G8"/>
    <mergeCell ref="H8:S8"/>
  </mergeCells>
  <conditionalFormatting sqref="H10:S93">
    <cfRule type="cellIs" dxfId="60" priority="1" operator="equal">
      <formula>"D"</formula>
    </cfRule>
    <cfRule type="cellIs" dxfId="59" priority="2" operator="equal">
      <formula>"A"</formula>
    </cfRule>
    <cfRule type="cellIs" dxfId="58" priority="3" operator="equal">
      <formula>"BA"</formula>
    </cfRule>
    <cfRule type="cellIs" dxfId="57" priority="4" operator="equal">
      <formula>"P"</formula>
    </cfRule>
  </conditionalFormatting>
  <pageMargins left="0.70866141732283472" right="0.70866141732283472" top="0.74803149606299213" bottom="0.74803149606299213" header="0.31496062992125984" footer="0.31496062992125984"/>
  <pageSetup paperSize="9" scale="57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  <pageSetUpPr fitToPage="1"/>
  </sheetPr>
  <dimension ref="A1:AD22"/>
  <sheetViews>
    <sheetView showGridLines="0" tabSelected="1" zoomScale="90" zoomScaleNormal="90" workbookViewId="0"/>
  </sheetViews>
  <sheetFormatPr baseColWidth="10" defaultRowHeight="15"/>
  <cols>
    <col min="1" max="1" width="20.140625" style="13" customWidth="1"/>
    <col min="2" max="2" width="18.28515625" style="13" bestFit="1" customWidth="1"/>
    <col min="3" max="30" width="6.7109375" style="13" customWidth="1"/>
  </cols>
  <sheetData>
    <row r="1" spans="1:30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30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30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30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30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30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263</v>
      </c>
      <c r="M6" s="3"/>
      <c r="N6" s="3"/>
    </row>
    <row r="7" spans="1:30">
      <c r="A7" s="3"/>
      <c r="B7" s="3"/>
      <c r="C7" s="3"/>
      <c r="D7" s="3"/>
      <c r="E7" s="3"/>
    </row>
    <row r="8" spans="1:30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30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30">
      <c r="A10" s="133" t="s">
        <v>34</v>
      </c>
      <c r="B10" s="130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  <c r="AC10"/>
      <c r="AD10"/>
    </row>
    <row r="11" spans="1:30">
      <c r="A11" s="133"/>
      <c r="B11" s="130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  <c r="AC11"/>
      <c r="AD11"/>
    </row>
    <row r="12" spans="1:30">
      <c r="A12" s="5" t="s">
        <v>267</v>
      </c>
      <c r="B12" s="5" t="s">
        <v>264</v>
      </c>
      <c r="C12" s="12">
        <v>121</v>
      </c>
      <c r="D12" s="12"/>
      <c r="E12" s="12">
        <v>121</v>
      </c>
      <c r="F12" s="12"/>
      <c r="G12" s="12">
        <v>121</v>
      </c>
      <c r="H12" s="12"/>
      <c r="I12" s="12">
        <v>121</v>
      </c>
      <c r="J12" s="12"/>
      <c r="K12" s="12">
        <v>121</v>
      </c>
      <c r="L12" s="12"/>
      <c r="M12" s="12">
        <v>121</v>
      </c>
      <c r="N12" s="12"/>
      <c r="O12" s="12">
        <v>121</v>
      </c>
      <c r="P12" s="12"/>
      <c r="Q12" s="12">
        <v>121</v>
      </c>
      <c r="R12" s="12"/>
      <c r="S12" s="12">
        <v>121</v>
      </c>
      <c r="T12" s="12"/>
      <c r="U12" s="12">
        <v>121</v>
      </c>
      <c r="V12" s="12"/>
      <c r="W12" s="12">
        <v>121</v>
      </c>
      <c r="X12" s="12"/>
      <c r="Y12" s="12">
        <v>121</v>
      </c>
      <c r="Z12" s="12"/>
      <c r="AA12" s="12">
        <f t="shared" ref="AA12:AA17" si="0">SUM(C12+E12+G12+I12+K12+M12+O12+Q12+S12+U12+W12+Y12)</f>
        <v>1452</v>
      </c>
      <c r="AB12" s="12">
        <f>+D12+F12+H12+J12+L12+N12+P12+R12+T12+V12+X12+Z12</f>
        <v>0</v>
      </c>
      <c r="AC12"/>
      <c r="AD12"/>
    </row>
    <row r="13" spans="1:30">
      <c r="A13" s="5" t="s">
        <v>268</v>
      </c>
      <c r="B13" s="5" t="s">
        <v>265</v>
      </c>
      <c r="C13" s="12">
        <v>36</v>
      </c>
      <c r="D13" s="12"/>
      <c r="E13" s="12">
        <v>36</v>
      </c>
      <c r="F13" s="12"/>
      <c r="G13" s="12">
        <v>36</v>
      </c>
      <c r="H13" s="12"/>
      <c r="I13" s="12">
        <v>36</v>
      </c>
      <c r="J13" s="12"/>
      <c r="K13" s="12">
        <v>36</v>
      </c>
      <c r="L13" s="12"/>
      <c r="M13" s="12">
        <v>36</v>
      </c>
      <c r="N13" s="12"/>
      <c r="O13" s="12">
        <v>36</v>
      </c>
      <c r="P13" s="12"/>
      <c r="Q13" s="12">
        <v>36</v>
      </c>
      <c r="R13" s="12"/>
      <c r="S13" s="12">
        <v>36</v>
      </c>
      <c r="T13" s="12"/>
      <c r="U13" s="12">
        <v>36</v>
      </c>
      <c r="V13" s="12"/>
      <c r="W13" s="12">
        <v>36</v>
      </c>
      <c r="X13" s="12"/>
      <c r="Y13" s="12">
        <v>36</v>
      </c>
      <c r="Z13" s="12"/>
      <c r="AA13" s="12">
        <f t="shared" si="0"/>
        <v>432</v>
      </c>
      <c r="AB13" s="12">
        <f t="shared" ref="AB13:AB17" si="1">+D13+F13+H13+J13+L13+N13+P13+R13+T13+V13+X13+Z13</f>
        <v>0</v>
      </c>
      <c r="AC13"/>
      <c r="AD13"/>
    </row>
    <row r="14" spans="1:30">
      <c r="A14" s="5" t="s">
        <v>271</v>
      </c>
      <c r="B14" s="5" t="s">
        <v>322</v>
      </c>
      <c r="C14" s="12">
        <v>3</v>
      </c>
      <c r="D14" s="12"/>
      <c r="E14" s="12">
        <v>4</v>
      </c>
      <c r="F14" s="12"/>
      <c r="G14" s="12">
        <v>0</v>
      </c>
      <c r="H14" s="12"/>
      <c r="I14" s="12">
        <v>2</v>
      </c>
      <c r="J14" s="12"/>
      <c r="K14" s="12">
        <v>3</v>
      </c>
      <c r="L14" s="12"/>
      <c r="M14" s="24">
        <v>1</v>
      </c>
      <c r="N14" s="12"/>
      <c r="O14" s="24">
        <v>4</v>
      </c>
      <c r="P14" s="12"/>
      <c r="Q14" s="24">
        <v>2</v>
      </c>
      <c r="R14" s="12"/>
      <c r="S14" s="24">
        <v>2</v>
      </c>
      <c r="T14" s="12"/>
      <c r="U14" s="24">
        <v>2</v>
      </c>
      <c r="V14" s="12"/>
      <c r="W14" s="24">
        <v>1</v>
      </c>
      <c r="X14" s="12"/>
      <c r="Y14" s="24">
        <v>3</v>
      </c>
      <c r="Z14" s="12"/>
      <c r="AA14" s="12">
        <f t="shared" si="0"/>
        <v>27</v>
      </c>
      <c r="AB14" s="12">
        <f t="shared" si="1"/>
        <v>0</v>
      </c>
      <c r="AC14"/>
      <c r="AD14"/>
    </row>
    <row r="15" spans="1:30">
      <c r="A15" s="5" t="s">
        <v>269</v>
      </c>
      <c r="B15" s="5" t="s">
        <v>266</v>
      </c>
      <c r="C15" s="12">
        <v>1</v>
      </c>
      <c r="D15" s="12"/>
      <c r="E15" s="12">
        <v>2</v>
      </c>
      <c r="F15" s="12"/>
      <c r="G15" s="12">
        <v>4</v>
      </c>
      <c r="H15" s="12"/>
      <c r="I15" s="12">
        <v>3</v>
      </c>
      <c r="J15" s="12"/>
      <c r="K15" s="12">
        <v>3</v>
      </c>
      <c r="L15" s="12"/>
      <c r="M15" s="24">
        <v>5</v>
      </c>
      <c r="N15" s="12"/>
      <c r="O15" s="24">
        <v>3</v>
      </c>
      <c r="P15" s="12"/>
      <c r="Q15" s="24">
        <v>4</v>
      </c>
      <c r="R15" s="12"/>
      <c r="S15" s="24">
        <v>5</v>
      </c>
      <c r="T15" s="12"/>
      <c r="U15" s="24">
        <v>3</v>
      </c>
      <c r="V15" s="12"/>
      <c r="W15" s="24">
        <v>3</v>
      </c>
      <c r="X15" s="12"/>
      <c r="Y15" s="24">
        <v>1</v>
      </c>
      <c r="Z15" s="12"/>
      <c r="AA15" s="12">
        <f t="shared" si="0"/>
        <v>37</v>
      </c>
      <c r="AB15" s="12">
        <f t="shared" si="1"/>
        <v>0</v>
      </c>
      <c r="AC15"/>
      <c r="AD15"/>
    </row>
    <row r="16" spans="1:30">
      <c r="A16" s="5" t="s">
        <v>270</v>
      </c>
      <c r="B16" s="5" t="s">
        <v>272</v>
      </c>
      <c r="C16" s="12">
        <v>0</v>
      </c>
      <c r="D16" s="12"/>
      <c r="E16" s="12">
        <v>0</v>
      </c>
      <c r="F16" s="12"/>
      <c r="G16" s="12">
        <v>0</v>
      </c>
      <c r="H16" s="12"/>
      <c r="I16" s="12">
        <v>0</v>
      </c>
      <c r="J16" s="12"/>
      <c r="K16" s="12">
        <v>0</v>
      </c>
      <c r="L16" s="12"/>
      <c r="M16" s="24">
        <v>0</v>
      </c>
      <c r="N16" s="12"/>
      <c r="O16" s="24">
        <v>0</v>
      </c>
      <c r="P16" s="12"/>
      <c r="Q16" s="24">
        <v>0</v>
      </c>
      <c r="R16" s="12"/>
      <c r="S16" s="24">
        <v>0</v>
      </c>
      <c r="T16" s="12"/>
      <c r="U16" s="24">
        <v>0</v>
      </c>
      <c r="V16" s="12"/>
      <c r="W16" s="24">
        <v>0</v>
      </c>
      <c r="X16" s="12"/>
      <c r="Y16" s="24">
        <v>0</v>
      </c>
      <c r="Z16" s="12"/>
      <c r="AA16" s="12">
        <f t="shared" si="0"/>
        <v>0</v>
      </c>
      <c r="AB16" s="12">
        <f t="shared" si="1"/>
        <v>0</v>
      </c>
      <c r="AC16"/>
      <c r="AD16"/>
    </row>
    <row r="17" spans="1:30">
      <c r="A17" s="5" t="s">
        <v>342</v>
      </c>
      <c r="B17" s="5" t="s">
        <v>348</v>
      </c>
      <c r="C17" s="12">
        <v>0</v>
      </c>
      <c r="D17" s="12"/>
      <c r="E17" s="12">
        <v>0</v>
      </c>
      <c r="F17" s="12"/>
      <c r="G17" s="12">
        <v>0</v>
      </c>
      <c r="H17" s="12"/>
      <c r="I17" s="12">
        <v>2</v>
      </c>
      <c r="J17" s="12"/>
      <c r="K17" s="12">
        <v>2</v>
      </c>
      <c r="L17" s="12"/>
      <c r="M17" s="24">
        <v>2</v>
      </c>
      <c r="N17" s="12"/>
      <c r="O17" s="24">
        <v>2</v>
      </c>
      <c r="P17" s="12"/>
      <c r="Q17" s="24">
        <v>2</v>
      </c>
      <c r="R17" s="12"/>
      <c r="S17" s="24">
        <v>2</v>
      </c>
      <c r="T17" s="12"/>
      <c r="U17" s="24">
        <v>2</v>
      </c>
      <c r="V17" s="12"/>
      <c r="W17" s="24">
        <v>2</v>
      </c>
      <c r="X17" s="12"/>
      <c r="Y17" s="24">
        <v>2</v>
      </c>
      <c r="Z17" s="12"/>
      <c r="AA17" s="12">
        <f t="shared" si="0"/>
        <v>18</v>
      </c>
      <c r="AB17" s="12">
        <f t="shared" si="1"/>
        <v>0</v>
      </c>
      <c r="AC17"/>
      <c r="AD17"/>
    </row>
    <row r="18" spans="1:30" s="13" customFormat="1">
      <c r="A18" s="1"/>
      <c r="B18" s="1"/>
    </row>
    <row r="19" spans="1:30" s="13" customFormat="1">
      <c r="A19" s="1"/>
    </row>
    <row r="20" spans="1:30">
      <c r="C20" s="1"/>
    </row>
    <row r="22" spans="1:30">
      <c r="C22" s="1"/>
    </row>
  </sheetData>
  <sortState xmlns:xlrd2="http://schemas.microsoft.com/office/spreadsheetml/2017/richdata2" ref="A20:N22">
    <sortCondition ref="A20:A22"/>
  </sortState>
  <mergeCells count="20">
    <mergeCell ref="U10:V10"/>
    <mergeCell ref="W10:X10"/>
    <mergeCell ref="Y10:Z10"/>
    <mergeCell ref="AA10:AB10"/>
    <mergeCell ref="I10:J10"/>
    <mergeCell ref="K10:L10"/>
    <mergeCell ref="M10:N10"/>
    <mergeCell ref="O10:P10"/>
    <mergeCell ref="Q10:R10"/>
    <mergeCell ref="S10:T10"/>
    <mergeCell ref="G1:N2"/>
    <mergeCell ref="G3:N4"/>
    <mergeCell ref="F5:K5"/>
    <mergeCell ref="I6:K6"/>
    <mergeCell ref="C8:Z9"/>
    <mergeCell ref="A10:A11"/>
    <mergeCell ref="B10:B11"/>
    <mergeCell ref="C10:D10"/>
    <mergeCell ref="E10:F10"/>
    <mergeCell ref="G10:H10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T50"/>
  <sheetViews>
    <sheetView showGridLines="0" zoomScale="90" zoomScaleNormal="90" workbookViewId="0">
      <pane ySplit="9" topLeftCell="A10" activePane="bottomLeft" state="frozenSplit"/>
      <selection activeCell="H23" sqref="H23"/>
      <selection pane="bottomLeft" activeCell="A10" sqref="A10"/>
    </sheetView>
  </sheetViews>
  <sheetFormatPr baseColWidth="10" defaultColWidth="11.42578125" defaultRowHeight="15"/>
  <cols>
    <col min="1" max="1" width="11.7109375" style="13" customWidth="1"/>
    <col min="2" max="2" width="10" style="13" bestFit="1" customWidth="1"/>
    <col min="3" max="19" width="10.7109375" style="13" customWidth="1"/>
    <col min="20" max="16384" width="11.42578125" style="13"/>
  </cols>
  <sheetData>
    <row r="1" spans="1:19" ht="15" customHeight="1">
      <c r="F1" s="16"/>
      <c r="G1" s="129" t="s">
        <v>243</v>
      </c>
      <c r="H1" s="129"/>
      <c r="I1" s="129"/>
      <c r="J1" s="129"/>
      <c r="K1" s="129"/>
      <c r="L1" s="3"/>
      <c r="M1" s="3"/>
      <c r="N1" s="3"/>
    </row>
    <row r="2" spans="1:19" ht="15" customHeight="1">
      <c r="F2" s="23"/>
      <c r="G2" s="129"/>
      <c r="H2" s="129"/>
      <c r="I2" s="129"/>
      <c r="J2" s="129"/>
      <c r="K2" s="129"/>
      <c r="L2" s="3"/>
      <c r="M2" s="3"/>
      <c r="N2" s="3"/>
    </row>
    <row r="3" spans="1:19" ht="15" customHeight="1">
      <c r="F3" s="16"/>
      <c r="G3" s="129" t="str">
        <f>'LGR CCEE CSR'!G3:K3</f>
        <v>Plan de Mantenimiento Preventivo Año: 2026</v>
      </c>
      <c r="H3" s="129"/>
      <c r="I3" s="129"/>
      <c r="J3" s="129"/>
      <c r="K3" s="129"/>
      <c r="L3" s="3"/>
      <c r="M3" s="3"/>
      <c r="N3" s="3"/>
    </row>
    <row r="4" spans="1:19" ht="15" customHeight="1">
      <c r="F4" s="16"/>
      <c r="G4" s="129" t="s">
        <v>410</v>
      </c>
      <c r="H4" s="129"/>
      <c r="I4" s="129"/>
      <c r="J4" s="129"/>
      <c r="K4" s="129"/>
      <c r="L4" s="60"/>
      <c r="M4" s="98"/>
      <c r="N4" s="129"/>
    </row>
    <row r="5" spans="1:19">
      <c r="E5" s="128"/>
      <c r="F5" s="128"/>
      <c r="G5" s="128"/>
      <c r="H5" s="128"/>
      <c r="I5" s="51"/>
      <c r="L5" s="60"/>
      <c r="M5" s="98"/>
      <c r="N5" s="129"/>
    </row>
    <row r="6" spans="1:19">
      <c r="E6" s="128" t="s">
        <v>17</v>
      </c>
      <c r="F6" s="128"/>
      <c r="G6" s="129" t="s">
        <v>273</v>
      </c>
      <c r="H6" s="129"/>
      <c r="M6" s="60"/>
      <c r="N6" s="97"/>
      <c r="O6" s="1"/>
    </row>
    <row r="8" spans="1:19" customFormat="1">
      <c r="A8" s="77" t="str">
        <f>'LGR CCEE CSR'!A8</f>
        <v>Km. al: 30/09/2025</v>
      </c>
      <c r="B8" s="47"/>
      <c r="C8" s="130" t="s">
        <v>40</v>
      </c>
      <c r="D8" s="130"/>
      <c r="E8" s="131" t="s">
        <v>41</v>
      </c>
      <c r="F8" s="131"/>
      <c r="G8" s="131"/>
      <c r="H8" s="132" t="str">
        <f>+'LGR CCEE CSR'!H8:S8</f>
        <v>AÑO 2026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spans="1:19">
      <c r="A9" s="39" t="s">
        <v>38</v>
      </c>
      <c r="B9" s="38" t="s">
        <v>242</v>
      </c>
      <c r="C9" s="38" t="s">
        <v>1</v>
      </c>
      <c r="D9" s="38" t="s">
        <v>2</v>
      </c>
      <c r="E9" s="38" t="s">
        <v>1</v>
      </c>
      <c r="F9" s="38" t="s">
        <v>3</v>
      </c>
      <c r="G9" s="38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</row>
    <row r="10" spans="1:19" ht="15" customHeight="1">
      <c r="A10" s="15" t="s">
        <v>136</v>
      </c>
      <c r="B10" s="15" t="s">
        <v>56</v>
      </c>
      <c r="C10" s="73">
        <v>161294</v>
      </c>
      <c r="D10" s="74">
        <v>45275</v>
      </c>
      <c r="E10" s="25">
        <v>21002</v>
      </c>
      <c r="F10" s="75" t="s">
        <v>324</v>
      </c>
      <c r="G10" s="76">
        <v>45865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1:19" ht="15" customHeight="1">
      <c r="A11" s="15" t="s">
        <v>136</v>
      </c>
      <c r="B11" s="15" t="s">
        <v>57</v>
      </c>
      <c r="C11" s="73">
        <v>243297</v>
      </c>
      <c r="D11" s="74">
        <v>45056</v>
      </c>
      <c r="E11" s="73">
        <v>21160</v>
      </c>
      <c r="F11" s="75" t="s">
        <v>324</v>
      </c>
      <c r="G11" s="76">
        <v>45865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1:19" ht="15" customHeight="1">
      <c r="A12" s="15" t="s">
        <v>136</v>
      </c>
      <c r="B12" s="15" t="s">
        <v>58</v>
      </c>
      <c r="C12" s="73">
        <v>1</v>
      </c>
      <c r="D12" s="74">
        <v>45944</v>
      </c>
      <c r="E12" s="73">
        <v>2379</v>
      </c>
      <c r="F12" s="75" t="s">
        <v>514</v>
      </c>
      <c r="G12" s="76">
        <v>45986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1:19" ht="15" customHeight="1">
      <c r="A13" s="15" t="s">
        <v>136</v>
      </c>
      <c r="B13" s="15" t="s">
        <v>60</v>
      </c>
      <c r="C13" s="25">
        <v>663718</v>
      </c>
      <c r="D13" s="5">
        <v>43539</v>
      </c>
      <c r="E13" s="25">
        <v>8409</v>
      </c>
      <c r="F13" s="41" t="s">
        <v>324</v>
      </c>
      <c r="G13" s="42">
        <v>45882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spans="1:19" ht="15" customHeight="1">
      <c r="A14" s="15" t="s">
        <v>136</v>
      </c>
      <c r="B14" s="15" t="s">
        <v>61</v>
      </c>
      <c r="C14" s="73" t="s">
        <v>413</v>
      </c>
      <c r="D14" s="74"/>
      <c r="E14" s="73"/>
      <c r="F14" s="75"/>
      <c r="G14" s="76"/>
      <c r="H14" s="25"/>
      <c r="I14" s="25" t="s">
        <v>309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spans="1:19" ht="15.75" customHeight="1">
      <c r="A15" s="15" t="s">
        <v>136</v>
      </c>
      <c r="B15" s="15" t="s">
        <v>64</v>
      </c>
      <c r="C15" s="73">
        <v>674428</v>
      </c>
      <c r="D15" s="74">
        <v>43384</v>
      </c>
      <c r="E15" s="73">
        <v>8440</v>
      </c>
      <c r="F15" s="75" t="s">
        <v>324</v>
      </c>
      <c r="G15" s="76">
        <v>45882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1:19" ht="15" customHeight="1">
      <c r="A16" s="15" t="s">
        <v>136</v>
      </c>
      <c r="B16" s="15" t="s">
        <v>65</v>
      </c>
      <c r="C16" s="25">
        <v>800382</v>
      </c>
      <c r="D16" s="5">
        <v>42993</v>
      </c>
      <c r="E16" s="25">
        <v>13754</v>
      </c>
      <c r="F16" s="41" t="s">
        <v>324</v>
      </c>
      <c r="G16" s="42">
        <v>45892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 t="s">
        <v>309</v>
      </c>
    </row>
    <row r="17" spans="1:19" ht="15" customHeight="1">
      <c r="A17" s="15" t="s">
        <v>136</v>
      </c>
      <c r="B17" s="15" t="s">
        <v>68</v>
      </c>
      <c r="C17" s="73" t="s">
        <v>414</v>
      </c>
      <c r="D17" s="74"/>
      <c r="E17" s="73"/>
      <c r="F17" s="75"/>
      <c r="G17" s="76"/>
      <c r="H17" s="25"/>
      <c r="I17" s="25"/>
      <c r="J17" s="25"/>
      <c r="K17" s="25"/>
      <c r="L17" s="25" t="s">
        <v>309</v>
      </c>
      <c r="M17" s="25"/>
      <c r="N17" s="25"/>
      <c r="O17" s="25"/>
      <c r="P17" s="25"/>
      <c r="Q17" s="25"/>
      <c r="R17" s="25"/>
      <c r="S17" s="25"/>
    </row>
    <row r="18" spans="1:19" ht="15" customHeight="1">
      <c r="A18" s="15" t="s">
        <v>136</v>
      </c>
      <c r="B18" s="15" t="s">
        <v>69</v>
      </c>
      <c r="C18" s="73">
        <v>319215</v>
      </c>
      <c r="D18" s="74">
        <v>44540</v>
      </c>
      <c r="E18" s="73">
        <v>796</v>
      </c>
      <c r="F18" s="75" t="s">
        <v>324</v>
      </c>
      <c r="G18" s="76">
        <v>45922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1:19" ht="15.75" customHeight="1">
      <c r="A19" s="15" t="s">
        <v>136</v>
      </c>
      <c r="B19" s="15" t="s">
        <v>70</v>
      </c>
      <c r="C19" s="25">
        <v>479266</v>
      </c>
      <c r="D19" s="5">
        <v>44071</v>
      </c>
      <c r="E19" s="25">
        <v>5488</v>
      </c>
      <c r="F19" s="41" t="s">
        <v>324</v>
      </c>
      <c r="G19" s="42">
        <v>45912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1:19" ht="15" customHeight="1">
      <c r="A20" s="15" t="s">
        <v>136</v>
      </c>
      <c r="B20" s="15" t="s">
        <v>71</v>
      </c>
      <c r="C20" s="73">
        <v>569592</v>
      </c>
      <c r="D20" s="74">
        <v>43885</v>
      </c>
      <c r="E20" s="25">
        <v>13314</v>
      </c>
      <c r="F20" s="75" t="s">
        <v>324</v>
      </c>
      <c r="G20" s="76">
        <v>45872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  <row r="21" spans="1:19" ht="15" customHeight="1">
      <c r="A21" s="15" t="s">
        <v>136</v>
      </c>
      <c r="B21" s="15" t="s">
        <v>73</v>
      </c>
      <c r="C21" s="73">
        <v>433915</v>
      </c>
      <c r="D21" s="74">
        <v>44194</v>
      </c>
      <c r="E21" s="73">
        <v>26326</v>
      </c>
      <c r="F21" s="75" t="s">
        <v>324</v>
      </c>
      <c r="G21" s="76">
        <v>45834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</row>
    <row r="22" spans="1:19">
      <c r="A22" s="15" t="s">
        <v>136</v>
      </c>
      <c r="B22" s="15" t="s">
        <v>77</v>
      </c>
      <c r="C22" s="73">
        <v>614013</v>
      </c>
      <c r="D22" s="74">
        <v>43812</v>
      </c>
      <c r="E22" s="73">
        <v>8055</v>
      </c>
      <c r="F22" s="75" t="s">
        <v>324</v>
      </c>
      <c r="G22" s="76">
        <v>45903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</row>
    <row r="23" spans="1:19">
      <c r="A23" s="15" t="s">
        <v>136</v>
      </c>
      <c r="B23" s="15" t="s">
        <v>78</v>
      </c>
      <c r="C23" s="73">
        <v>265553</v>
      </c>
      <c r="D23" s="74">
        <v>44902</v>
      </c>
      <c r="E23" s="73">
        <v>8124</v>
      </c>
      <c r="F23" s="75" t="s">
        <v>324</v>
      </c>
      <c r="G23" s="76">
        <v>45903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</row>
    <row r="24" spans="1:19">
      <c r="A24" s="15" t="s">
        <v>136</v>
      </c>
      <c r="B24" s="15" t="s">
        <v>80</v>
      </c>
      <c r="C24" s="25">
        <v>313120</v>
      </c>
      <c r="D24" s="5">
        <v>44788</v>
      </c>
      <c r="E24" s="25">
        <v>25569</v>
      </c>
      <c r="F24" s="41" t="s">
        <v>324</v>
      </c>
      <c r="G24" s="42">
        <v>45848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spans="1:19">
      <c r="A25" s="15" t="s">
        <v>136</v>
      </c>
      <c r="B25" s="15" t="s">
        <v>83</v>
      </c>
      <c r="C25" s="25">
        <v>795092</v>
      </c>
      <c r="D25" s="5">
        <v>43048</v>
      </c>
      <c r="E25" s="25">
        <v>13349</v>
      </c>
      <c r="F25" s="41" t="s">
        <v>324</v>
      </c>
      <c r="G25" s="42">
        <v>45872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spans="1:19">
      <c r="A26" s="15" t="s">
        <v>136</v>
      </c>
      <c r="B26" s="15" t="s">
        <v>85</v>
      </c>
      <c r="C26" s="73">
        <v>200941</v>
      </c>
      <c r="D26" s="74">
        <v>45169</v>
      </c>
      <c r="E26" s="73">
        <v>25401</v>
      </c>
      <c r="F26" s="75" t="s">
        <v>324</v>
      </c>
      <c r="G26" s="76">
        <v>45848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spans="1:19">
      <c r="A27" s="15" t="s">
        <v>136</v>
      </c>
      <c r="B27" s="15" t="s">
        <v>137</v>
      </c>
      <c r="C27" s="73">
        <v>384232</v>
      </c>
      <c r="D27" s="74">
        <v>44400</v>
      </c>
      <c r="E27" s="73">
        <v>5433</v>
      </c>
      <c r="F27" s="75" t="s">
        <v>324</v>
      </c>
      <c r="G27" s="76">
        <v>45912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19">
      <c r="A28" s="15" t="s">
        <v>136</v>
      </c>
      <c r="B28" s="15" t="s">
        <v>89</v>
      </c>
      <c r="C28" s="73" t="s">
        <v>413</v>
      </c>
      <c r="D28" s="74"/>
      <c r="E28" s="73"/>
      <c r="F28" s="75"/>
      <c r="G28" s="76"/>
      <c r="H28" s="25"/>
      <c r="I28" s="25"/>
      <c r="J28" s="25"/>
      <c r="K28" s="25"/>
      <c r="L28" s="25"/>
      <c r="M28" s="25"/>
      <c r="N28" s="25"/>
      <c r="O28" s="25" t="s">
        <v>309</v>
      </c>
      <c r="P28" s="25"/>
      <c r="Q28" s="25"/>
      <c r="R28" s="25"/>
      <c r="S28" s="25"/>
    </row>
    <row r="29" spans="1:19">
      <c r="A29" s="15" t="s">
        <v>136</v>
      </c>
      <c r="B29" s="15" t="s">
        <v>92</v>
      </c>
      <c r="C29" s="73">
        <v>329956</v>
      </c>
      <c r="D29" s="74">
        <v>44693</v>
      </c>
      <c r="E29" s="73">
        <v>25821</v>
      </c>
      <c r="F29" s="75" t="s">
        <v>324</v>
      </c>
      <c r="G29" s="76">
        <v>45834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</row>
    <row r="30" spans="1:19">
      <c r="A30" s="15" t="s">
        <v>136</v>
      </c>
      <c r="B30" s="15" t="s">
        <v>94</v>
      </c>
      <c r="C30" s="73">
        <v>1</v>
      </c>
      <c r="D30" s="74">
        <v>45944</v>
      </c>
      <c r="E30" s="73">
        <v>2651</v>
      </c>
      <c r="F30" s="75" t="s">
        <v>514</v>
      </c>
      <c r="G30" s="76">
        <v>45980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spans="1:19">
      <c r="A31" s="15" t="s">
        <v>136</v>
      </c>
      <c r="B31" s="15" t="s">
        <v>95</v>
      </c>
      <c r="C31" s="73">
        <v>74041</v>
      </c>
      <c r="D31" s="74">
        <v>45665</v>
      </c>
      <c r="E31" s="73">
        <v>785</v>
      </c>
      <c r="F31" s="75" t="s">
        <v>324</v>
      </c>
      <c r="G31" s="76">
        <v>45922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spans="1:19" ht="15" customHeight="1">
      <c r="A32" s="15" t="s">
        <v>136</v>
      </c>
      <c r="B32" s="15" t="s">
        <v>96</v>
      </c>
      <c r="C32" s="25">
        <v>692528</v>
      </c>
      <c r="D32" s="5">
        <v>43520</v>
      </c>
      <c r="E32" s="25">
        <v>13759</v>
      </c>
      <c r="F32" s="41" t="s">
        <v>324</v>
      </c>
      <c r="G32" s="42">
        <v>45892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1:20" s="26" customFormat="1" ht="15" customHeight="1">
      <c r="A33" s="15" t="s">
        <v>136</v>
      </c>
      <c r="B33" s="15" t="s">
        <v>98</v>
      </c>
      <c r="C33" s="73">
        <v>610375</v>
      </c>
      <c r="D33" s="74">
        <v>43707</v>
      </c>
      <c r="E33" s="73">
        <v>19796</v>
      </c>
      <c r="F33" s="75" t="s">
        <v>324</v>
      </c>
      <c r="G33" s="76">
        <v>45856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spans="1:20">
      <c r="A34" s="15" t="s">
        <v>136</v>
      </c>
      <c r="B34" s="15" t="s">
        <v>101</v>
      </c>
      <c r="C34" s="73">
        <v>101367</v>
      </c>
      <c r="D34" s="74">
        <v>45534</v>
      </c>
      <c r="E34" s="73">
        <v>19734</v>
      </c>
      <c r="F34" s="75" t="s">
        <v>324</v>
      </c>
      <c r="G34" s="76">
        <v>45856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6" spans="1:20">
      <c r="A36" s="6"/>
      <c r="B36" s="6"/>
      <c r="G36" s="61" t="s">
        <v>308</v>
      </c>
      <c r="H36" s="62">
        <f>COUNTIF(H10:H34,"RB")</f>
        <v>0</v>
      </c>
      <c r="I36" s="62">
        <f t="shared" ref="I36:S36" si="0">COUNTIF(I10:I34,"RB")</f>
        <v>0</v>
      </c>
      <c r="J36" s="62">
        <f t="shared" si="0"/>
        <v>0</v>
      </c>
      <c r="K36" s="62">
        <f t="shared" si="0"/>
        <v>0</v>
      </c>
      <c r="L36" s="62">
        <f t="shared" si="0"/>
        <v>0</v>
      </c>
      <c r="M36" s="62">
        <f t="shared" si="0"/>
        <v>0</v>
      </c>
      <c r="N36" s="62">
        <f t="shared" si="0"/>
        <v>0</v>
      </c>
      <c r="O36" s="62">
        <f t="shared" si="0"/>
        <v>0</v>
      </c>
      <c r="P36" s="62">
        <f t="shared" si="0"/>
        <v>0</v>
      </c>
      <c r="Q36" s="62">
        <f t="shared" si="0"/>
        <v>0</v>
      </c>
      <c r="R36" s="62">
        <f t="shared" si="0"/>
        <v>0</v>
      </c>
      <c r="S36" s="62">
        <f t="shared" si="0"/>
        <v>0</v>
      </c>
      <c r="T36" s="13">
        <f>SUM(H36:S36)</f>
        <v>0</v>
      </c>
    </row>
    <row r="37" spans="1:20">
      <c r="A37" s="8"/>
      <c r="B37" s="8"/>
      <c r="G37" s="61" t="s">
        <v>309</v>
      </c>
      <c r="H37" s="63">
        <f>COUNTIF(H10:H34,"RG")</f>
        <v>0</v>
      </c>
      <c r="I37" s="63">
        <f t="shared" ref="I37:S37" si="1">COUNTIF(I10:I34,"RG")</f>
        <v>1</v>
      </c>
      <c r="J37" s="63">
        <f t="shared" si="1"/>
        <v>0</v>
      </c>
      <c r="K37" s="63">
        <f t="shared" si="1"/>
        <v>0</v>
      </c>
      <c r="L37" s="63">
        <f t="shared" si="1"/>
        <v>1</v>
      </c>
      <c r="M37" s="63">
        <f t="shared" si="1"/>
        <v>0</v>
      </c>
      <c r="N37" s="63">
        <f t="shared" si="1"/>
        <v>0</v>
      </c>
      <c r="O37" s="63">
        <f t="shared" si="1"/>
        <v>1</v>
      </c>
      <c r="P37" s="63">
        <f t="shared" si="1"/>
        <v>0</v>
      </c>
      <c r="Q37" s="63">
        <f t="shared" si="1"/>
        <v>0</v>
      </c>
      <c r="R37" s="63">
        <f t="shared" si="1"/>
        <v>0</v>
      </c>
      <c r="S37" s="63">
        <f t="shared" si="1"/>
        <v>1</v>
      </c>
      <c r="T37" s="13">
        <f>SUM(H37:S37)</f>
        <v>4</v>
      </c>
    </row>
    <row r="38" spans="1:20">
      <c r="A38" s="8"/>
      <c r="B38" s="8"/>
    </row>
    <row r="39" spans="1:20">
      <c r="A39" s="7"/>
      <c r="B39" s="26"/>
      <c r="C39" s="64"/>
      <c r="D39" s="3"/>
    </row>
    <row r="40" spans="1:20">
      <c r="A40" s="8"/>
      <c r="B40" s="26"/>
      <c r="C40" s="64"/>
    </row>
    <row r="41" spans="1:20">
      <c r="A41" s="7"/>
      <c r="B41" s="26"/>
      <c r="C41" s="64"/>
    </row>
    <row r="42" spans="1:20">
      <c r="A42" s="1"/>
      <c r="C42" s="64"/>
    </row>
    <row r="43" spans="1:20">
      <c r="A43" s="1"/>
      <c r="C43" s="64"/>
    </row>
    <row r="44" spans="1:20">
      <c r="C44" s="64"/>
    </row>
    <row r="45" spans="1:20">
      <c r="C45" s="64"/>
    </row>
    <row r="46" spans="1:20">
      <c r="C46" s="64"/>
    </row>
    <row r="47" spans="1:20">
      <c r="C47" s="64"/>
    </row>
    <row r="48" spans="1:20">
      <c r="C48" s="64"/>
    </row>
    <row r="49" spans="3:3">
      <c r="C49" s="60"/>
    </row>
    <row r="50" spans="3:3">
      <c r="C50" s="60"/>
    </row>
  </sheetData>
  <mergeCells count="11">
    <mergeCell ref="G1:K2"/>
    <mergeCell ref="G3:K3"/>
    <mergeCell ref="G4:K4"/>
    <mergeCell ref="C8:D8"/>
    <mergeCell ref="E8:G8"/>
    <mergeCell ref="E6:F6"/>
    <mergeCell ref="G6:H6"/>
    <mergeCell ref="E5:F5"/>
    <mergeCell ref="G5:H5"/>
    <mergeCell ref="H8:S8"/>
    <mergeCell ref="N4:N5"/>
  </mergeCells>
  <conditionalFormatting sqref="H10:S34">
    <cfRule type="cellIs" dxfId="56" priority="1" operator="equal">
      <formula>"RB"</formula>
    </cfRule>
    <cfRule type="cellIs" dxfId="55" priority="2" operator="equal">
      <formula>"RG"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249977111117893"/>
    <pageSetUpPr fitToPage="1"/>
  </sheetPr>
  <dimension ref="A1:AD19"/>
  <sheetViews>
    <sheetView showGridLines="0" zoomScale="90" zoomScaleNormal="90" workbookViewId="0">
      <selection activeCell="C17" sqref="C17"/>
    </sheetView>
  </sheetViews>
  <sheetFormatPr baseColWidth="10" defaultRowHeight="15"/>
  <cols>
    <col min="1" max="1" width="19.5703125" style="13" customWidth="1"/>
    <col min="2" max="2" width="10.7109375" style="13" customWidth="1"/>
    <col min="3" max="30" width="6.7109375" style="13" customWidth="1"/>
  </cols>
  <sheetData>
    <row r="1" spans="1:30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30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30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30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30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30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273</v>
      </c>
      <c r="M6" s="3"/>
      <c r="N6" s="3"/>
    </row>
    <row r="7" spans="1:30">
      <c r="A7" s="3"/>
      <c r="B7" s="3"/>
      <c r="C7" s="3"/>
      <c r="D7" s="3"/>
      <c r="E7" s="3"/>
    </row>
    <row r="8" spans="1:30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30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30">
      <c r="A10" s="133" t="s">
        <v>34</v>
      </c>
      <c r="B10" s="130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  <c r="AC10"/>
      <c r="AD10"/>
    </row>
    <row r="11" spans="1:30">
      <c r="A11" s="133"/>
      <c r="B11" s="130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  <c r="AC11"/>
      <c r="AD11"/>
    </row>
    <row r="12" spans="1:30">
      <c r="A12" s="5" t="s">
        <v>247</v>
      </c>
      <c r="B12" s="27" t="s">
        <v>279</v>
      </c>
      <c r="C12" s="12">
        <v>6</v>
      </c>
      <c r="D12" s="12"/>
      <c r="E12" s="12">
        <v>6</v>
      </c>
      <c r="F12" s="12"/>
      <c r="G12" s="12">
        <v>6</v>
      </c>
      <c r="H12" s="12"/>
      <c r="I12" s="12">
        <v>6</v>
      </c>
      <c r="J12" s="12"/>
      <c r="K12" s="12">
        <v>6</v>
      </c>
      <c r="L12" s="12"/>
      <c r="M12" s="12">
        <v>6</v>
      </c>
      <c r="N12" s="12"/>
      <c r="O12" s="12">
        <v>6</v>
      </c>
      <c r="P12" s="12"/>
      <c r="Q12" s="12">
        <v>6</v>
      </c>
      <c r="R12" s="12"/>
      <c r="S12" s="12">
        <v>6</v>
      </c>
      <c r="T12" s="12"/>
      <c r="U12" s="12">
        <v>6</v>
      </c>
      <c r="V12" s="12"/>
      <c r="W12" s="12">
        <v>6</v>
      </c>
      <c r="X12" s="12"/>
      <c r="Y12" s="12">
        <v>6</v>
      </c>
      <c r="Z12" s="12"/>
      <c r="AA12" s="12">
        <f>SUM(C12+E12+G12+I12+K12+M12+O12+Q12+S12+U12+W12+Y12)</f>
        <v>72</v>
      </c>
      <c r="AB12" s="12">
        <f>+D12+F12+H12+J12+L12+N12+P12+R12+T12+V12+X12+Z12</f>
        <v>0</v>
      </c>
      <c r="AC12"/>
      <c r="AD12"/>
    </row>
    <row r="13" spans="1:30">
      <c r="A13" s="5" t="s">
        <v>246</v>
      </c>
      <c r="B13" s="27" t="s">
        <v>290</v>
      </c>
      <c r="C13" s="24">
        <v>0</v>
      </c>
      <c r="D13" s="12"/>
      <c r="E13" s="24">
        <v>0</v>
      </c>
      <c r="F13" s="12"/>
      <c r="G13" s="24">
        <v>0</v>
      </c>
      <c r="H13" s="12"/>
      <c r="I13" s="24">
        <v>0</v>
      </c>
      <c r="J13" s="12"/>
      <c r="K13" s="24">
        <v>0</v>
      </c>
      <c r="L13" s="12"/>
      <c r="M13" s="24">
        <v>0</v>
      </c>
      <c r="N13" s="12"/>
      <c r="O13" s="24">
        <v>0</v>
      </c>
      <c r="P13" s="12"/>
      <c r="Q13" s="24">
        <v>0</v>
      </c>
      <c r="R13" s="12"/>
      <c r="S13" s="24">
        <v>0</v>
      </c>
      <c r="T13" s="12"/>
      <c r="U13" s="24">
        <v>0</v>
      </c>
      <c r="V13" s="12"/>
      <c r="W13" s="12">
        <v>0</v>
      </c>
      <c r="X13" s="12"/>
      <c r="Y13" s="12">
        <v>0</v>
      </c>
      <c r="Z13" s="12"/>
      <c r="AA13" s="12">
        <f t="shared" ref="AA13:AA14" si="0">SUM(C13+E13+G13+I13+K13+M13+O13+Q13+S13+U13+W13+Y13)</f>
        <v>0</v>
      </c>
      <c r="AB13" s="12">
        <f t="shared" ref="AB13:AB14" si="1">+D13+F13+H13+J13+L13+N13+P13+R13+T13+V13+X13+Z13</f>
        <v>0</v>
      </c>
      <c r="AC13"/>
      <c r="AD13"/>
    </row>
    <row r="14" spans="1:30">
      <c r="A14" s="5" t="s">
        <v>42</v>
      </c>
      <c r="B14" s="27" t="s">
        <v>291</v>
      </c>
      <c r="C14" s="24">
        <v>0</v>
      </c>
      <c r="D14" s="12"/>
      <c r="E14" s="24">
        <v>1</v>
      </c>
      <c r="F14" s="12"/>
      <c r="G14" s="24">
        <v>0</v>
      </c>
      <c r="H14" s="12"/>
      <c r="I14" s="24">
        <v>0</v>
      </c>
      <c r="J14" s="12"/>
      <c r="K14" s="24">
        <v>1</v>
      </c>
      <c r="L14" s="12"/>
      <c r="M14" s="24">
        <v>0</v>
      </c>
      <c r="N14" s="12"/>
      <c r="O14" s="24">
        <v>0</v>
      </c>
      <c r="P14" s="12"/>
      <c r="Q14" s="24">
        <v>1</v>
      </c>
      <c r="R14" s="12"/>
      <c r="S14" s="24">
        <v>0</v>
      </c>
      <c r="T14" s="12"/>
      <c r="U14" s="24">
        <v>0</v>
      </c>
      <c r="V14" s="12"/>
      <c r="W14" s="12">
        <v>0</v>
      </c>
      <c r="X14" s="12"/>
      <c r="Y14" s="12">
        <v>1</v>
      </c>
      <c r="Z14" s="12"/>
      <c r="AA14" s="12">
        <f t="shared" si="0"/>
        <v>4</v>
      </c>
      <c r="AB14" s="12">
        <f t="shared" si="1"/>
        <v>0</v>
      </c>
      <c r="AC14"/>
      <c r="AD14"/>
    </row>
    <row r="16" spans="1:30">
      <c r="A16" s="6"/>
      <c r="B16" s="6"/>
    </row>
    <row r="17" spans="1:2">
      <c r="A17" s="7"/>
      <c r="B17" s="7"/>
    </row>
    <row r="18" spans="1:2">
      <c r="A18" s="1"/>
      <c r="B18" s="1"/>
    </row>
    <row r="19" spans="1:2">
      <c r="A19" s="1"/>
      <c r="B19" s="1"/>
    </row>
  </sheetData>
  <mergeCells count="20">
    <mergeCell ref="AA10:AB10"/>
    <mergeCell ref="I10:J10"/>
    <mergeCell ref="W10:X10"/>
    <mergeCell ref="Y10:Z10"/>
    <mergeCell ref="K10:L10"/>
    <mergeCell ref="M10:N10"/>
    <mergeCell ref="O10:P10"/>
    <mergeCell ref="Q10:R10"/>
    <mergeCell ref="S10:T10"/>
    <mergeCell ref="U10:V10"/>
    <mergeCell ref="G1:N2"/>
    <mergeCell ref="G3:N4"/>
    <mergeCell ref="F5:K5"/>
    <mergeCell ref="I6:K6"/>
    <mergeCell ref="C8:Z9"/>
    <mergeCell ref="A10:A11"/>
    <mergeCell ref="B10:B11"/>
    <mergeCell ref="C10:D10"/>
    <mergeCell ref="E10:F10"/>
    <mergeCell ref="G10:H10"/>
  </mergeCells>
  <pageMargins left="0.70866141732283472" right="0.70866141732283472" top="0.74803149606299213" bottom="0.74803149606299213" header="0.31496062992125984" footer="0.31496062992125984"/>
  <pageSetup paperSize="9" scale="6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fitToPage="1"/>
  </sheetPr>
  <dimension ref="A1:T37"/>
  <sheetViews>
    <sheetView showGridLines="0" zoomScale="90" zoomScaleNormal="90" workbookViewId="0">
      <pane ySplit="9" topLeftCell="A16" activePane="bottomLeft" state="frozenSplit"/>
      <selection activeCell="H23" sqref="H23"/>
      <selection pane="bottomLeft" activeCell="H22" sqref="H22"/>
    </sheetView>
  </sheetViews>
  <sheetFormatPr baseColWidth="10" defaultColWidth="11.42578125" defaultRowHeight="15"/>
  <cols>
    <col min="1" max="1" width="15.5703125" style="13" bestFit="1" customWidth="1"/>
    <col min="2" max="2" width="9.7109375" style="13" customWidth="1"/>
    <col min="3" max="3" width="12.7109375" style="13" customWidth="1"/>
    <col min="4" max="4" width="15" style="13" bestFit="1" customWidth="1"/>
    <col min="5" max="6" width="10.7109375" style="13" customWidth="1"/>
    <col min="7" max="7" width="15" style="13" bestFit="1" customWidth="1"/>
    <col min="8" max="8" width="8.7109375" style="13" customWidth="1"/>
    <col min="9" max="10" width="11.42578125" style="13" bestFit="1" customWidth="1"/>
    <col min="11" max="11" width="8.7109375" style="13" customWidth="1"/>
    <col min="12" max="12" width="11.42578125" style="13" bestFit="1" customWidth="1"/>
    <col min="13" max="17" width="8.7109375" style="13" customWidth="1"/>
    <col min="18" max="18" width="11.42578125" style="13" bestFit="1" customWidth="1"/>
    <col min="19" max="19" width="8.7109375" style="13" customWidth="1"/>
    <col min="20" max="16384" width="11.42578125" style="13"/>
  </cols>
  <sheetData>
    <row r="1" spans="1:20" ht="15" customHeight="1">
      <c r="F1" s="16"/>
      <c r="G1" s="129" t="s">
        <v>243</v>
      </c>
      <c r="H1" s="129"/>
      <c r="I1" s="129"/>
      <c r="J1" s="129"/>
      <c r="K1" s="129"/>
      <c r="L1" s="3"/>
      <c r="M1" s="3"/>
      <c r="N1" s="3"/>
    </row>
    <row r="2" spans="1:20" ht="15" customHeight="1">
      <c r="F2" s="23"/>
      <c r="G2" s="129"/>
      <c r="H2" s="129"/>
      <c r="I2" s="129"/>
      <c r="J2" s="129"/>
      <c r="K2" s="129"/>
      <c r="L2" s="3"/>
      <c r="M2" s="3"/>
      <c r="N2" s="3"/>
    </row>
    <row r="3" spans="1:20" ht="15" customHeight="1">
      <c r="F3" s="16"/>
      <c r="G3" s="129" t="str">
        <f>'LGR CCEE'!G3:K3</f>
        <v>Plan de Mantenimiento Preventivo Año: 2026</v>
      </c>
      <c r="H3" s="129"/>
      <c r="I3" s="129"/>
      <c r="J3" s="129"/>
      <c r="K3" s="129"/>
      <c r="L3" s="3"/>
      <c r="M3" s="3"/>
      <c r="N3" s="3"/>
    </row>
    <row r="4" spans="1:20" ht="15" customHeight="1">
      <c r="F4" s="16"/>
      <c r="G4" s="129" t="s">
        <v>418</v>
      </c>
      <c r="H4" s="129"/>
      <c r="I4" s="129"/>
      <c r="J4" s="129"/>
      <c r="K4" s="129"/>
      <c r="M4" s="99"/>
      <c r="N4" s="3"/>
    </row>
    <row r="5" spans="1:20">
      <c r="E5" s="128" t="s">
        <v>16</v>
      </c>
      <c r="F5" s="128"/>
      <c r="G5" s="128" t="s">
        <v>18</v>
      </c>
      <c r="H5" s="128"/>
      <c r="I5" s="51"/>
      <c r="M5" s="99"/>
    </row>
    <row r="6" spans="1:20">
      <c r="E6" s="128" t="s">
        <v>17</v>
      </c>
      <c r="F6" s="128"/>
      <c r="G6" s="129" t="s">
        <v>274</v>
      </c>
      <c r="H6" s="129"/>
      <c r="M6" s="60"/>
      <c r="N6" s="97"/>
      <c r="O6" s="1"/>
    </row>
    <row r="7" spans="1:20" ht="15.75">
      <c r="D7" s="118"/>
      <c r="E7" s="118"/>
      <c r="F7" s="118"/>
      <c r="G7" s="118"/>
      <c r="H7" s="118"/>
      <c r="I7" s="118"/>
      <c r="J7" s="118"/>
      <c r="K7" s="118"/>
    </row>
    <row r="8" spans="1:20" customFormat="1">
      <c r="A8" s="77" t="str">
        <f>'LGR CCEE'!A8</f>
        <v>Km. al: 30/09/2025</v>
      </c>
      <c r="B8" s="78"/>
      <c r="C8" s="130" t="s">
        <v>40</v>
      </c>
      <c r="D8" s="130"/>
      <c r="E8" s="131" t="s">
        <v>41</v>
      </c>
      <c r="F8" s="131"/>
      <c r="G8" s="131"/>
      <c r="H8" s="132" t="str">
        <f>'LGR CCEE'!H8:S8</f>
        <v>AÑO 2026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19"/>
    </row>
    <row r="9" spans="1:20">
      <c r="A9" s="33" t="s">
        <v>38</v>
      </c>
      <c r="B9" s="34" t="s">
        <v>36</v>
      </c>
      <c r="C9" s="34" t="s">
        <v>1</v>
      </c>
      <c r="D9" s="34" t="s">
        <v>2</v>
      </c>
      <c r="E9" s="34" t="s">
        <v>1</v>
      </c>
      <c r="F9" s="34" t="s">
        <v>3</v>
      </c>
      <c r="G9" s="34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  <c r="T9" s="26"/>
    </row>
    <row r="10" spans="1:20" ht="15.75" customHeight="1">
      <c r="A10" s="37" t="s">
        <v>47</v>
      </c>
      <c r="B10" s="37" t="s">
        <v>138</v>
      </c>
      <c r="C10" s="10">
        <v>935368</v>
      </c>
      <c r="D10" s="11">
        <v>41272</v>
      </c>
      <c r="E10" s="10">
        <v>14702</v>
      </c>
      <c r="F10" s="10" t="s">
        <v>306</v>
      </c>
      <c r="G10" s="11">
        <v>45848</v>
      </c>
      <c r="H10" s="11"/>
      <c r="I10" s="11"/>
      <c r="J10" s="11" t="s">
        <v>399</v>
      </c>
      <c r="K10" s="11"/>
      <c r="L10" s="11"/>
      <c r="M10" s="11"/>
      <c r="N10" s="11"/>
      <c r="O10" s="11"/>
      <c r="P10" s="11"/>
      <c r="Q10" s="11"/>
      <c r="R10" s="11"/>
      <c r="S10" s="11"/>
      <c r="T10" s="26"/>
    </row>
    <row r="11" spans="1:20" ht="15" customHeight="1">
      <c r="A11" s="37" t="s">
        <v>47</v>
      </c>
      <c r="B11" s="37" t="s">
        <v>139</v>
      </c>
      <c r="C11" s="48">
        <v>152271</v>
      </c>
      <c r="D11" s="124">
        <v>44488</v>
      </c>
      <c r="E11" s="48">
        <v>15267</v>
      </c>
      <c r="F11" s="48" t="s">
        <v>306</v>
      </c>
      <c r="G11" s="124">
        <v>45715</v>
      </c>
      <c r="H11" s="11"/>
      <c r="I11" s="11"/>
      <c r="J11" s="11"/>
      <c r="K11" s="11"/>
      <c r="L11" s="11" t="s">
        <v>384</v>
      </c>
      <c r="M11" s="11"/>
      <c r="N11" s="11"/>
      <c r="O11" s="11"/>
      <c r="P11" s="11"/>
      <c r="Q11" s="11"/>
      <c r="R11" s="11"/>
      <c r="S11" s="11"/>
      <c r="T11" s="26"/>
    </row>
    <row r="12" spans="1:20" ht="15" customHeight="1">
      <c r="A12" s="37" t="s">
        <v>50</v>
      </c>
      <c r="B12" s="37" t="s">
        <v>140</v>
      </c>
      <c r="C12" s="48">
        <v>1356729</v>
      </c>
      <c r="D12" s="124">
        <v>40794</v>
      </c>
      <c r="E12" s="48">
        <v>10620</v>
      </c>
      <c r="F12" s="48" t="s">
        <v>306</v>
      </c>
      <c r="G12" s="124">
        <v>45904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26"/>
    </row>
    <row r="13" spans="1:20">
      <c r="A13" s="37" t="s">
        <v>50</v>
      </c>
      <c r="B13" s="37" t="s">
        <v>392</v>
      </c>
      <c r="C13" s="48">
        <v>1632201</v>
      </c>
      <c r="D13" s="124">
        <v>39836</v>
      </c>
      <c r="E13" s="48">
        <v>8917</v>
      </c>
      <c r="F13" s="48" t="s">
        <v>306</v>
      </c>
      <c r="G13" s="124">
        <v>45897</v>
      </c>
      <c r="H13" s="11"/>
      <c r="I13" s="11"/>
      <c r="J13" s="11"/>
      <c r="K13" s="11"/>
      <c r="L13" s="11"/>
      <c r="M13" s="11" t="s">
        <v>310</v>
      </c>
      <c r="N13" s="11"/>
      <c r="O13" s="11"/>
      <c r="P13" s="11"/>
      <c r="Q13" s="11"/>
      <c r="R13" s="11"/>
      <c r="S13" s="11"/>
      <c r="T13" s="26"/>
    </row>
    <row r="14" spans="1:20">
      <c r="A14" s="37" t="s">
        <v>275</v>
      </c>
      <c r="B14" s="37" t="s">
        <v>141</v>
      </c>
      <c r="C14" s="10">
        <v>693954</v>
      </c>
      <c r="D14" s="11">
        <v>41656</v>
      </c>
      <c r="E14" s="10">
        <v>9626</v>
      </c>
      <c r="F14" s="10" t="s">
        <v>306</v>
      </c>
      <c r="G14" s="11">
        <v>45907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26"/>
    </row>
    <row r="15" spans="1:20">
      <c r="A15" s="37" t="s">
        <v>275</v>
      </c>
      <c r="B15" s="37" t="s">
        <v>142</v>
      </c>
      <c r="C15" s="48">
        <v>1470199</v>
      </c>
      <c r="D15" s="124">
        <v>40002</v>
      </c>
      <c r="E15" s="48">
        <v>1743</v>
      </c>
      <c r="F15" s="48" t="s">
        <v>325</v>
      </c>
      <c r="G15" s="124">
        <v>45924</v>
      </c>
      <c r="H15" s="11"/>
      <c r="I15" s="11" t="s">
        <v>399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6"/>
    </row>
    <row r="16" spans="1:20">
      <c r="A16" s="37" t="s">
        <v>275</v>
      </c>
      <c r="B16" s="37" t="s">
        <v>143</v>
      </c>
      <c r="C16" s="48">
        <v>759403</v>
      </c>
      <c r="D16" s="124">
        <v>42221</v>
      </c>
      <c r="E16" s="48">
        <v>9007</v>
      </c>
      <c r="F16" s="48" t="s">
        <v>306</v>
      </c>
      <c r="G16" s="124">
        <v>45818</v>
      </c>
      <c r="H16" s="11"/>
      <c r="I16" s="11" t="s">
        <v>393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6"/>
    </row>
    <row r="17" spans="1:20">
      <c r="A17" s="37" t="s">
        <v>275</v>
      </c>
      <c r="B17" s="37" t="s">
        <v>144</v>
      </c>
      <c r="C17" s="10">
        <v>1321075</v>
      </c>
      <c r="D17" s="11">
        <v>41231</v>
      </c>
      <c r="E17" s="10">
        <v>14524</v>
      </c>
      <c r="F17" s="10" t="s">
        <v>306</v>
      </c>
      <c r="G17" s="11">
        <v>45894</v>
      </c>
      <c r="H17" s="11"/>
      <c r="I17" s="11"/>
      <c r="J17" s="11"/>
      <c r="K17" s="11"/>
      <c r="L17" s="11" t="s">
        <v>399</v>
      </c>
      <c r="M17" s="11"/>
      <c r="N17" s="11"/>
      <c r="O17" s="11"/>
      <c r="P17" s="11"/>
      <c r="Q17" s="11"/>
      <c r="R17" s="11"/>
      <c r="S17" s="11"/>
      <c r="T17" s="26"/>
    </row>
    <row r="18" spans="1:20">
      <c r="A18" s="37" t="s">
        <v>275</v>
      </c>
      <c r="B18" s="37" t="s">
        <v>145</v>
      </c>
      <c r="C18" s="48">
        <v>928967</v>
      </c>
      <c r="D18" s="124">
        <v>41823</v>
      </c>
      <c r="E18" s="48">
        <v>1011</v>
      </c>
      <c r="F18" s="48" t="s">
        <v>310</v>
      </c>
      <c r="G18" s="124">
        <v>45923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 t="s">
        <v>416</v>
      </c>
      <c r="T18" s="26"/>
    </row>
    <row r="19" spans="1:20">
      <c r="A19" s="37" t="s">
        <v>275</v>
      </c>
      <c r="B19" s="37" t="s">
        <v>146</v>
      </c>
      <c r="C19" s="10">
        <v>994460</v>
      </c>
      <c r="D19" s="11">
        <v>41641</v>
      </c>
      <c r="E19" s="10">
        <v>7389</v>
      </c>
      <c r="F19" s="14" t="s">
        <v>310</v>
      </c>
      <c r="G19" s="11">
        <v>45887</v>
      </c>
      <c r="H19" s="11"/>
      <c r="I19" s="11"/>
      <c r="J19" s="11"/>
      <c r="K19" s="11"/>
      <c r="L19" s="11"/>
      <c r="M19" s="11"/>
      <c r="N19" s="11"/>
      <c r="O19" s="11"/>
      <c r="P19" s="11" t="s">
        <v>416</v>
      </c>
      <c r="Q19" s="11"/>
      <c r="R19" s="11"/>
      <c r="S19" s="11"/>
      <c r="T19" s="26"/>
    </row>
    <row r="20" spans="1:20">
      <c r="A20" s="37" t="s">
        <v>275</v>
      </c>
      <c r="B20" s="37" t="s">
        <v>147</v>
      </c>
      <c r="C20" s="48">
        <v>804230</v>
      </c>
      <c r="D20" s="124">
        <v>42062</v>
      </c>
      <c r="E20" s="48">
        <v>982</v>
      </c>
      <c r="F20" s="48" t="s">
        <v>310</v>
      </c>
      <c r="G20" s="124">
        <v>45891</v>
      </c>
      <c r="H20" s="11"/>
      <c r="I20" s="11"/>
      <c r="J20" s="11"/>
      <c r="K20" s="11"/>
      <c r="L20" s="11"/>
      <c r="M20" s="11"/>
      <c r="N20" s="11"/>
      <c r="O20" s="11"/>
      <c r="P20" s="11"/>
      <c r="Q20" s="11" t="s">
        <v>393</v>
      </c>
      <c r="R20" s="11"/>
      <c r="S20" s="11"/>
      <c r="T20" s="26"/>
    </row>
    <row r="21" spans="1:20">
      <c r="A21" s="37" t="s">
        <v>275</v>
      </c>
      <c r="B21" s="37" t="s">
        <v>148</v>
      </c>
      <c r="C21" s="48" t="s">
        <v>415</v>
      </c>
      <c r="D21" s="124"/>
      <c r="E21" s="48"/>
      <c r="F21" s="48"/>
      <c r="G21" s="124"/>
      <c r="H21" s="11" t="s">
        <v>417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6"/>
    </row>
    <row r="22" spans="1:20">
      <c r="A22" s="37" t="s">
        <v>275</v>
      </c>
      <c r="B22" s="37" t="s">
        <v>149</v>
      </c>
      <c r="C22" s="10">
        <v>947315</v>
      </c>
      <c r="D22" s="11">
        <v>42013</v>
      </c>
      <c r="E22" s="10">
        <v>10215</v>
      </c>
      <c r="F22" s="10" t="s">
        <v>310</v>
      </c>
      <c r="G22" s="11">
        <v>45892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 t="s">
        <v>416</v>
      </c>
      <c r="S22" s="11"/>
      <c r="T22" s="26"/>
    </row>
    <row r="23" spans="1:20">
      <c r="A23" s="37" t="s">
        <v>275</v>
      </c>
      <c r="B23" s="37" t="s">
        <v>150</v>
      </c>
      <c r="C23" s="10">
        <v>605703</v>
      </c>
      <c r="D23" s="11">
        <v>43242</v>
      </c>
      <c r="E23" s="10">
        <v>15125</v>
      </c>
      <c r="F23" s="10" t="s">
        <v>325</v>
      </c>
      <c r="G23" s="11">
        <v>45873</v>
      </c>
      <c r="H23" s="11"/>
      <c r="I23" s="11"/>
      <c r="J23" s="11"/>
      <c r="K23" s="11"/>
      <c r="L23" s="11"/>
      <c r="M23" s="11"/>
      <c r="N23" s="11" t="s">
        <v>417</v>
      </c>
      <c r="O23" s="11"/>
      <c r="P23" s="11"/>
      <c r="Q23" s="11"/>
      <c r="R23" s="11"/>
      <c r="S23" s="11"/>
      <c r="T23" s="26"/>
    </row>
    <row r="24" spans="1:20">
      <c r="A24" s="37" t="s">
        <v>275</v>
      </c>
      <c r="B24" s="37" t="s">
        <v>151</v>
      </c>
      <c r="C24" s="10">
        <v>656408</v>
      </c>
      <c r="D24" s="11">
        <v>43675</v>
      </c>
      <c r="E24" s="10">
        <v>1894</v>
      </c>
      <c r="F24" s="10" t="s">
        <v>306</v>
      </c>
      <c r="G24" s="11">
        <v>45916</v>
      </c>
      <c r="H24" s="11"/>
      <c r="I24" s="11"/>
      <c r="J24" s="11"/>
      <c r="K24" s="11"/>
      <c r="L24" s="11"/>
      <c r="M24" s="11" t="s">
        <v>310</v>
      </c>
      <c r="N24" s="11"/>
      <c r="O24" s="11"/>
      <c r="P24" s="11"/>
      <c r="Q24" s="11"/>
      <c r="R24" s="11"/>
      <c r="S24" s="11"/>
      <c r="T24" s="26"/>
    </row>
    <row r="25" spans="1:20">
      <c r="A25" s="37" t="s">
        <v>275</v>
      </c>
      <c r="B25" s="37" t="s">
        <v>152</v>
      </c>
      <c r="C25" s="48">
        <v>1211264</v>
      </c>
      <c r="D25" s="124">
        <v>41396</v>
      </c>
      <c r="E25" s="48">
        <v>5603</v>
      </c>
      <c r="F25" s="48" t="s">
        <v>306</v>
      </c>
      <c r="G25" s="124">
        <v>45901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 t="s">
        <v>399</v>
      </c>
      <c r="S25" s="11"/>
      <c r="T25" s="26"/>
    </row>
    <row r="26" spans="1:20">
      <c r="A26" s="37" t="s">
        <v>275</v>
      </c>
      <c r="B26" s="37" t="s">
        <v>153</v>
      </c>
      <c r="C26" s="10">
        <v>795094</v>
      </c>
      <c r="D26" s="11">
        <v>42636</v>
      </c>
      <c r="E26" s="10">
        <v>71</v>
      </c>
      <c r="F26" s="10" t="s">
        <v>306</v>
      </c>
      <c r="G26" s="11">
        <v>45928</v>
      </c>
      <c r="H26" s="14"/>
      <c r="I26" s="14"/>
      <c r="J26" s="14"/>
      <c r="K26" s="14"/>
      <c r="L26" s="14"/>
      <c r="M26" s="14"/>
      <c r="N26" s="14" t="s">
        <v>393</v>
      </c>
      <c r="O26" s="14"/>
      <c r="P26" s="14"/>
      <c r="Q26" s="14"/>
      <c r="R26" s="14"/>
      <c r="S26" s="14"/>
      <c r="T26" s="26"/>
    </row>
    <row r="27" spans="1:20">
      <c r="A27" s="37" t="s">
        <v>50</v>
      </c>
      <c r="B27" s="37" t="s">
        <v>321</v>
      </c>
      <c r="C27" s="10">
        <v>375936</v>
      </c>
      <c r="D27" s="11">
        <v>44216</v>
      </c>
      <c r="E27" s="10">
        <v>16656</v>
      </c>
      <c r="F27" s="10" t="s">
        <v>325</v>
      </c>
      <c r="G27" s="11">
        <v>45872</v>
      </c>
      <c r="H27" s="14"/>
      <c r="I27" s="14" t="s">
        <v>383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26"/>
    </row>
    <row r="28" spans="1:20">
      <c r="A28" s="8"/>
      <c r="B28" s="8"/>
      <c r="C28" s="26"/>
      <c r="D28" s="26"/>
      <c r="E28" s="26"/>
      <c r="F28" s="26"/>
      <c r="G28" s="120" t="s">
        <v>310</v>
      </c>
      <c r="H28" s="125">
        <f t="shared" ref="H28:S28" si="0">COUNTIF(H10:H27,"ABC")</f>
        <v>0</v>
      </c>
      <c r="I28" s="125">
        <f t="shared" si="0"/>
        <v>0</v>
      </c>
      <c r="J28" s="125">
        <f t="shared" si="0"/>
        <v>0</v>
      </c>
      <c r="K28" s="125">
        <f t="shared" si="0"/>
        <v>0</v>
      </c>
      <c r="L28" s="125">
        <f t="shared" si="0"/>
        <v>0</v>
      </c>
      <c r="M28" s="125">
        <f t="shared" si="0"/>
        <v>2</v>
      </c>
      <c r="N28" s="125">
        <f t="shared" si="0"/>
        <v>0</v>
      </c>
      <c r="O28" s="125">
        <f t="shared" si="0"/>
        <v>0</v>
      </c>
      <c r="P28" s="125">
        <f t="shared" si="0"/>
        <v>0</v>
      </c>
      <c r="Q28" s="125">
        <f t="shared" si="0"/>
        <v>0</v>
      </c>
      <c r="R28" s="125">
        <f t="shared" si="0"/>
        <v>0</v>
      </c>
      <c r="S28" s="125">
        <f t="shared" si="0"/>
        <v>0</v>
      </c>
      <c r="T28" s="121">
        <f>SUM(H28:S28)</f>
        <v>2</v>
      </c>
    </row>
    <row r="29" spans="1:20">
      <c r="A29" s="8"/>
      <c r="B29" s="8"/>
      <c r="C29" s="26"/>
      <c r="D29" s="26"/>
      <c r="E29" s="26"/>
      <c r="F29" s="26"/>
      <c r="G29" s="120" t="s">
        <v>399</v>
      </c>
      <c r="H29" s="125">
        <f t="shared" ref="H29:S29" si="1">COUNTIF(H10:H27,"ABC + BV")</f>
        <v>0</v>
      </c>
      <c r="I29" s="125">
        <f t="shared" si="1"/>
        <v>1</v>
      </c>
      <c r="J29" s="125">
        <f t="shared" si="1"/>
        <v>1</v>
      </c>
      <c r="K29" s="125">
        <f t="shared" si="1"/>
        <v>0</v>
      </c>
      <c r="L29" s="125">
        <f t="shared" si="1"/>
        <v>1</v>
      </c>
      <c r="M29" s="125">
        <f t="shared" si="1"/>
        <v>0</v>
      </c>
      <c r="N29" s="125">
        <f t="shared" si="1"/>
        <v>0</v>
      </c>
      <c r="O29" s="125">
        <f t="shared" si="1"/>
        <v>0</v>
      </c>
      <c r="P29" s="125">
        <f t="shared" si="1"/>
        <v>0</v>
      </c>
      <c r="Q29" s="125">
        <f t="shared" si="1"/>
        <v>0</v>
      </c>
      <c r="R29" s="125">
        <f t="shared" si="1"/>
        <v>1</v>
      </c>
      <c r="S29" s="125">
        <f t="shared" si="1"/>
        <v>0</v>
      </c>
      <c r="T29" s="121">
        <f>SUM(H29:S29)</f>
        <v>4</v>
      </c>
    </row>
    <row r="30" spans="1:20">
      <c r="A30" s="8"/>
      <c r="B30" s="8"/>
      <c r="C30" s="26"/>
      <c r="D30" s="26"/>
      <c r="E30" s="26"/>
      <c r="F30" s="26"/>
      <c r="G30" s="120" t="s">
        <v>419</v>
      </c>
      <c r="H30" s="126">
        <f>+H29+H28</f>
        <v>0</v>
      </c>
      <c r="I30" s="126">
        <f t="shared" ref="I30:T30" si="2">+I29+I28</f>
        <v>1</v>
      </c>
      <c r="J30" s="126">
        <f t="shared" si="2"/>
        <v>1</v>
      </c>
      <c r="K30" s="126">
        <f t="shared" si="2"/>
        <v>0</v>
      </c>
      <c r="L30" s="126">
        <f t="shared" si="2"/>
        <v>1</v>
      </c>
      <c r="M30" s="126">
        <f t="shared" si="2"/>
        <v>2</v>
      </c>
      <c r="N30" s="126">
        <f t="shared" si="2"/>
        <v>0</v>
      </c>
      <c r="O30" s="126">
        <f t="shared" si="2"/>
        <v>0</v>
      </c>
      <c r="P30" s="126">
        <f t="shared" si="2"/>
        <v>0</v>
      </c>
      <c r="Q30" s="126">
        <f t="shared" si="2"/>
        <v>0</v>
      </c>
      <c r="R30" s="126">
        <f t="shared" si="2"/>
        <v>1</v>
      </c>
      <c r="S30" s="126">
        <f t="shared" si="2"/>
        <v>0</v>
      </c>
      <c r="T30" s="122">
        <f t="shared" si="2"/>
        <v>6</v>
      </c>
    </row>
    <row r="31" spans="1:20">
      <c r="A31" s="8"/>
      <c r="B31" s="8"/>
      <c r="C31" s="26"/>
      <c r="D31" s="26"/>
      <c r="E31" s="26"/>
      <c r="F31" s="26"/>
      <c r="G31" s="120" t="s">
        <v>311</v>
      </c>
      <c r="H31" s="126">
        <f t="shared" ref="H31:S31" si="3">COUNTIF(H10:H27,"N*")</f>
        <v>1</v>
      </c>
      <c r="I31" s="126">
        <f t="shared" si="3"/>
        <v>2</v>
      </c>
      <c r="J31" s="126">
        <f t="shared" si="3"/>
        <v>0</v>
      </c>
      <c r="K31" s="126">
        <f t="shared" si="3"/>
        <v>0</v>
      </c>
      <c r="L31" s="126">
        <f t="shared" si="3"/>
        <v>1</v>
      </c>
      <c r="M31" s="126">
        <f t="shared" si="3"/>
        <v>0</v>
      </c>
      <c r="N31" s="126">
        <f t="shared" si="3"/>
        <v>2</v>
      </c>
      <c r="O31" s="126">
        <f t="shared" si="3"/>
        <v>0</v>
      </c>
      <c r="P31" s="126">
        <f t="shared" si="3"/>
        <v>1</v>
      </c>
      <c r="Q31" s="126">
        <f t="shared" si="3"/>
        <v>1</v>
      </c>
      <c r="R31" s="126">
        <f t="shared" si="3"/>
        <v>1</v>
      </c>
      <c r="S31" s="126">
        <f t="shared" si="3"/>
        <v>1</v>
      </c>
      <c r="T31" s="123">
        <f t="shared" ref="T31:T32" si="4">SUM(H31:S31)</f>
        <v>10</v>
      </c>
    </row>
    <row r="32" spans="1:20">
      <c r="A32" s="26"/>
      <c r="B32" s="26"/>
      <c r="C32" s="26"/>
      <c r="D32" s="26"/>
      <c r="E32" s="26"/>
      <c r="F32" s="26"/>
      <c r="G32" s="120" t="s">
        <v>309</v>
      </c>
      <c r="H32" s="127">
        <f t="shared" ref="H32:S32" si="5">COUNTIF(H10:H27,"RG")</f>
        <v>0</v>
      </c>
      <c r="I32" s="127">
        <f t="shared" si="5"/>
        <v>0</v>
      </c>
      <c r="J32" s="127">
        <f t="shared" si="5"/>
        <v>0</v>
      </c>
      <c r="K32" s="127">
        <f t="shared" si="5"/>
        <v>0</v>
      </c>
      <c r="L32" s="127">
        <f t="shared" si="5"/>
        <v>0</v>
      </c>
      <c r="M32" s="127">
        <f t="shared" si="5"/>
        <v>0</v>
      </c>
      <c r="N32" s="127">
        <f t="shared" si="5"/>
        <v>0</v>
      </c>
      <c r="O32" s="127">
        <f t="shared" si="5"/>
        <v>0</v>
      </c>
      <c r="P32" s="127">
        <f t="shared" si="5"/>
        <v>0</v>
      </c>
      <c r="Q32" s="127">
        <f t="shared" si="5"/>
        <v>0</v>
      </c>
      <c r="R32" s="127">
        <f t="shared" si="5"/>
        <v>0</v>
      </c>
      <c r="S32" s="127">
        <f t="shared" si="5"/>
        <v>0</v>
      </c>
      <c r="T32" s="121">
        <f t="shared" si="4"/>
        <v>0</v>
      </c>
    </row>
    <row r="34" spans="1:19" hidden="1">
      <c r="A34" s="37" t="s">
        <v>50</v>
      </c>
      <c r="B34" s="37">
        <v>9069</v>
      </c>
      <c r="C34" s="10">
        <v>336919</v>
      </c>
      <c r="D34" s="11">
        <v>33970</v>
      </c>
      <c r="E34" s="10"/>
      <c r="F34" s="10"/>
      <c r="G34" s="11"/>
      <c r="H34" s="14"/>
      <c r="I34" s="14"/>
      <c r="J34" s="14"/>
      <c r="K34" s="14"/>
      <c r="L34" s="14"/>
      <c r="M34" s="14"/>
      <c r="N34" s="14"/>
      <c r="O34" s="14"/>
      <c r="P34" s="11" t="s">
        <v>309</v>
      </c>
      <c r="Q34" s="14"/>
      <c r="R34" s="14"/>
      <c r="S34" s="11"/>
    </row>
    <row r="35" spans="1:19">
      <c r="A35" s="85"/>
      <c r="B35" s="86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6"/>
    </row>
    <row r="36" spans="1:19"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6"/>
    </row>
    <row r="37" spans="1:19"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6"/>
      <c r="S37" s="65"/>
    </row>
  </sheetData>
  <sortState xmlns:xlrd2="http://schemas.microsoft.com/office/spreadsheetml/2017/richdata2" ref="F38:T40">
    <sortCondition ref="F38:F40"/>
  </sortState>
  <mergeCells count="10">
    <mergeCell ref="G1:K2"/>
    <mergeCell ref="G3:K3"/>
    <mergeCell ref="G4:K4"/>
    <mergeCell ref="C8:D8"/>
    <mergeCell ref="E8:G8"/>
    <mergeCell ref="E6:F6"/>
    <mergeCell ref="G6:H6"/>
    <mergeCell ref="E5:F5"/>
    <mergeCell ref="G5:H5"/>
    <mergeCell ref="H8:S8"/>
  </mergeCells>
  <conditionalFormatting sqref="H10:S27">
    <cfRule type="cellIs" dxfId="54" priority="6" operator="equal">
      <formula>"ABC"</formula>
    </cfRule>
    <cfRule type="cellIs" dxfId="53" priority="8" operator="equal">
      <formula>"RG"</formula>
    </cfRule>
    <cfRule type="cellIs" dxfId="52" priority="9" operator="equal">
      <formula>"N3"</formula>
    </cfRule>
    <cfRule type="cellIs" dxfId="51" priority="10" operator="equal">
      <formula>"N6"</formula>
    </cfRule>
    <cfRule type="containsText" dxfId="50" priority="12" operator="containsText" text="N">
      <formula>NOT(ISERROR(SEARCH("N",H10)))</formula>
    </cfRule>
  </conditionalFormatting>
  <conditionalFormatting sqref="H34:S34">
    <cfRule type="cellIs" dxfId="49" priority="7" operator="equal">
      <formula>"RG"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  <pageSetUpPr fitToPage="1"/>
  </sheetPr>
  <dimension ref="A1:AB23"/>
  <sheetViews>
    <sheetView showGridLines="0" zoomScale="90" zoomScaleNormal="90" workbookViewId="0">
      <selection activeCell="J14" sqref="J14"/>
    </sheetView>
  </sheetViews>
  <sheetFormatPr baseColWidth="10" defaultRowHeight="15"/>
  <cols>
    <col min="1" max="2" width="17" style="13" customWidth="1"/>
    <col min="3" max="28" width="6.7109375" style="13" customWidth="1"/>
  </cols>
  <sheetData>
    <row r="1" spans="1:28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28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28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28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28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28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274</v>
      </c>
      <c r="M6" s="3"/>
      <c r="N6" s="3"/>
    </row>
    <row r="7" spans="1:28">
      <c r="A7" s="3"/>
      <c r="B7" s="3"/>
      <c r="C7" s="3"/>
      <c r="D7" s="3"/>
      <c r="E7" s="3"/>
    </row>
    <row r="8" spans="1:28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8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28">
      <c r="A10" s="133" t="s">
        <v>34</v>
      </c>
      <c r="B10" s="133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</row>
    <row r="11" spans="1:28">
      <c r="A11" s="133"/>
      <c r="B11" s="133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</row>
    <row r="12" spans="1:28">
      <c r="A12" s="5" t="s">
        <v>248</v>
      </c>
      <c r="B12" s="20" t="s">
        <v>283</v>
      </c>
      <c r="C12" s="12">
        <v>5</v>
      </c>
      <c r="D12" s="12"/>
      <c r="E12" s="12">
        <v>4</v>
      </c>
      <c r="F12" s="12"/>
      <c r="G12" s="12">
        <v>5</v>
      </c>
      <c r="H12" s="12"/>
      <c r="I12" s="12">
        <v>4</v>
      </c>
      <c r="J12" s="12"/>
      <c r="K12" s="12">
        <v>5</v>
      </c>
      <c r="L12" s="12"/>
      <c r="M12" s="12">
        <v>4</v>
      </c>
      <c r="N12" s="12"/>
      <c r="O12" s="12">
        <v>5</v>
      </c>
      <c r="P12" s="12"/>
      <c r="Q12" s="12">
        <v>4</v>
      </c>
      <c r="R12" s="12"/>
      <c r="S12" s="12">
        <v>4</v>
      </c>
      <c r="T12" s="12"/>
      <c r="U12" s="12">
        <v>5</v>
      </c>
      <c r="V12" s="12"/>
      <c r="W12" s="12">
        <v>4</v>
      </c>
      <c r="X12" s="12"/>
      <c r="Y12" s="12">
        <v>4</v>
      </c>
      <c r="Z12" s="12"/>
      <c r="AA12" s="12">
        <f>SUM(C12+E12+G12+I12+K12+M12+O12+Q12+S12+U12+W12+Y12)</f>
        <v>53</v>
      </c>
      <c r="AB12" s="12">
        <f>+D12+F12+H12+J12+L12+N12+P12+R12+T12+V12+X12+Z12</f>
        <v>0</v>
      </c>
    </row>
    <row r="13" spans="1:28">
      <c r="A13" s="5" t="s">
        <v>249</v>
      </c>
      <c r="B13" s="20" t="s">
        <v>284</v>
      </c>
      <c r="C13" s="12">
        <v>1</v>
      </c>
      <c r="D13" s="12"/>
      <c r="E13" s="12">
        <v>0</v>
      </c>
      <c r="F13" s="12"/>
      <c r="G13" s="12">
        <v>1</v>
      </c>
      <c r="H13" s="12"/>
      <c r="I13" s="12">
        <v>1</v>
      </c>
      <c r="J13" s="12"/>
      <c r="K13" s="12">
        <v>1</v>
      </c>
      <c r="L13" s="12"/>
      <c r="M13" s="12">
        <v>1</v>
      </c>
      <c r="N13" s="12"/>
      <c r="O13" s="12">
        <v>1</v>
      </c>
      <c r="P13" s="12"/>
      <c r="Q13" s="12">
        <v>1</v>
      </c>
      <c r="R13" s="12"/>
      <c r="S13" s="12">
        <v>1</v>
      </c>
      <c r="T13" s="12"/>
      <c r="U13" s="12">
        <v>1</v>
      </c>
      <c r="V13" s="12"/>
      <c r="W13" s="12">
        <v>1</v>
      </c>
      <c r="X13" s="12"/>
      <c r="Y13" s="12">
        <v>1</v>
      </c>
      <c r="Z13" s="12"/>
      <c r="AA13" s="12">
        <f t="shared" ref="AA13:AA16" si="0">SUM(C13+E13+G13+I13+K13+M13+O13+Q13+S13+U13+W13+Y13)</f>
        <v>11</v>
      </c>
      <c r="AB13" s="12">
        <f t="shared" ref="AB13:AB16" si="1">+D13+F13+H13+J13+L13+N13+P13+R13+T13+V13+X13+Z13</f>
        <v>0</v>
      </c>
    </row>
    <row r="14" spans="1:28">
      <c r="A14" s="5" t="s">
        <v>250</v>
      </c>
      <c r="B14" s="20" t="s">
        <v>285</v>
      </c>
      <c r="C14" s="12">
        <v>0</v>
      </c>
      <c r="D14" s="12"/>
      <c r="E14" s="12">
        <v>1</v>
      </c>
      <c r="F14" s="12"/>
      <c r="G14" s="12">
        <v>1</v>
      </c>
      <c r="H14" s="12"/>
      <c r="I14" s="12">
        <v>0</v>
      </c>
      <c r="J14" s="12"/>
      <c r="K14" s="12">
        <v>1</v>
      </c>
      <c r="L14" s="12"/>
      <c r="M14" s="12">
        <v>2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1</v>
      </c>
      <c r="X14" s="12"/>
      <c r="Y14" s="12">
        <v>0</v>
      </c>
      <c r="Z14" s="12"/>
      <c r="AA14" s="12">
        <f t="shared" si="0"/>
        <v>6</v>
      </c>
      <c r="AB14" s="12">
        <f t="shared" si="1"/>
        <v>0</v>
      </c>
    </row>
    <row r="15" spans="1:28">
      <c r="A15" s="5" t="s">
        <v>46</v>
      </c>
      <c r="B15" s="20" t="s">
        <v>286</v>
      </c>
      <c r="C15" s="12">
        <v>1</v>
      </c>
      <c r="D15" s="12"/>
      <c r="E15" s="12">
        <v>2</v>
      </c>
      <c r="F15" s="12"/>
      <c r="G15" s="12">
        <v>0</v>
      </c>
      <c r="H15" s="12"/>
      <c r="I15" s="12">
        <v>0</v>
      </c>
      <c r="J15" s="12"/>
      <c r="K15" s="12">
        <v>1</v>
      </c>
      <c r="L15" s="12"/>
      <c r="M15" s="12">
        <v>0</v>
      </c>
      <c r="N15" s="12"/>
      <c r="O15" s="12">
        <v>2</v>
      </c>
      <c r="P15" s="12"/>
      <c r="Q15" s="12">
        <v>0</v>
      </c>
      <c r="R15" s="12"/>
      <c r="S15" s="12">
        <v>1</v>
      </c>
      <c r="T15" s="12"/>
      <c r="U15" s="12">
        <v>1</v>
      </c>
      <c r="V15" s="12"/>
      <c r="W15" s="12">
        <v>1</v>
      </c>
      <c r="X15" s="12"/>
      <c r="Y15" s="12">
        <v>1</v>
      </c>
      <c r="Z15" s="12"/>
      <c r="AA15" s="12">
        <f t="shared" si="0"/>
        <v>10</v>
      </c>
      <c r="AB15" s="12">
        <f t="shared" si="1"/>
        <v>0</v>
      </c>
    </row>
    <row r="16" spans="1:28">
      <c r="A16" s="5" t="s">
        <v>42</v>
      </c>
      <c r="B16" s="20" t="s">
        <v>287</v>
      </c>
      <c r="C16" s="12">
        <v>0</v>
      </c>
      <c r="D16" s="12"/>
      <c r="E16" s="12">
        <v>0</v>
      </c>
      <c r="F16" s="12"/>
      <c r="G16" s="12">
        <v>0</v>
      </c>
      <c r="H16" s="12"/>
      <c r="I16" s="12">
        <v>0</v>
      </c>
      <c r="J16" s="12"/>
      <c r="K16" s="12">
        <v>0</v>
      </c>
      <c r="L16" s="12"/>
      <c r="M16" s="12">
        <v>0</v>
      </c>
      <c r="N16" s="12"/>
      <c r="O16" s="12">
        <v>0</v>
      </c>
      <c r="P16" s="12"/>
      <c r="Q16" s="12">
        <v>0</v>
      </c>
      <c r="R16" s="12"/>
      <c r="S16" s="12">
        <v>0</v>
      </c>
      <c r="T16" s="12"/>
      <c r="U16" s="12">
        <v>0</v>
      </c>
      <c r="V16" s="12"/>
      <c r="W16" s="12">
        <v>0</v>
      </c>
      <c r="X16" s="12"/>
      <c r="Y16" s="12">
        <v>0</v>
      </c>
      <c r="Z16" s="12"/>
      <c r="AA16" s="12">
        <f t="shared" si="0"/>
        <v>0</v>
      </c>
      <c r="AB16" s="12">
        <f t="shared" si="1"/>
        <v>0</v>
      </c>
    </row>
    <row r="18" spans="1:27">
      <c r="A18" s="1"/>
      <c r="B18" s="1"/>
    </row>
    <row r="19" spans="1:27">
      <c r="A19" s="5" t="s">
        <v>404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>
        <f t="shared" ref="AA19:AA20" si="2">SUM(C19+E19+G19+I19+K19+M19+O19+Q19+S19+U19+W19+Y19)</f>
        <v>0</v>
      </c>
    </row>
    <row r="20" spans="1:27">
      <c r="A20" s="5" t="s">
        <v>403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>
        <f t="shared" si="2"/>
        <v>0</v>
      </c>
    </row>
    <row r="21" spans="1:27">
      <c r="A21" s="5"/>
    </row>
    <row r="22" spans="1:27">
      <c r="A22" s="5" t="s">
        <v>406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>
        <f t="shared" ref="AA22:AA23" si="3">SUM(C22+E22+G22+I22+K22+M22+O22+Q22+S22+U22+W22+Y22)</f>
        <v>0</v>
      </c>
    </row>
    <row r="23" spans="1:27">
      <c r="A23" s="5" t="s">
        <v>405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>
        <f t="shared" si="3"/>
        <v>0</v>
      </c>
    </row>
  </sheetData>
  <mergeCells count="20">
    <mergeCell ref="AA10:AB10"/>
    <mergeCell ref="I10:J10"/>
    <mergeCell ref="G1:N2"/>
    <mergeCell ref="G3:N4"/>
    <mergeCell ref="F5:K5"/>
    <mergeCell ref="I6:K6"/>
    <mergeCell ref="C8:Z9"/>
    <mergeCell ref="W10:X10"/>
    <mergeCell ref="Y10:Z10"/>
    <mergeCell ref="K10:L10"/>
    <mergeCell ref="M10:N10"/>
    <mergeCell ref="O10:P10"/>
    <mergeCell ref="Q10:R10"/>
    <mergeCell ref="S10:T10"/>
    <mergeCell ref="U10:V10"/>
    <mergeCell ref="A10:A11"/>
    <mergeCell ref="B10:B11"/>
    <mergeCell ref="C10:D10"/>
    <mergeCell ref="E10:F10"/>
    <mergeCell ref="G10:H10"/>
  </mergeCells>
  <pageMargins left="0.70866141732283472" right="0.70866141732283472" top="0.74803149606299213" bottom="0.74803149606299213" header="0.31496062992125984" footer="0.31496062992125984"/>
  <pageSetup paperSize="9" scale="6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pageSetUpPr fitToPage="1"/>
  </sheetPr>
  <dimension ref="A1:W79"/>
  <sheetViews>
    <sheetView showGridLines="0" zoomScale="90" zoomScaleNormal="90" workbookViewId="0">
      <pane ySplit="9" topLeftCell="A64" activePane="bottomLeft" state="frozenSplit"/>
      <selection activeCell="G21" sqref="G21"/>
      <selection pane="bottomLeft" activeCell="F71" sqref="F71"/>
    </sheetView>
  </sheetViews>
  <sheetFormatPr baseColWidth="10" defaultColWidth="11.42578125" defaultRowHeight="15"/>
  <cols>
    <col min="1" max="1" width="11.7109375" style="13" customWidth="1"/>
    <col min="2" max="19" width="10.7109375" style="13" customWidth="1"/>
    <col min="20" max="16384" width="11.42578125" style="13"/>
  </cols>
  <sheetData>
    <row r="1" spans="1:23" ht="15" customHeight="1">
      <c r="F1" s="16"/>
      <c r="G1" s="129" t="s">
        <v>243</v>
      </c>
      <c r="H1" s="129"/>
      <c r="I1" s="129"/>
      <c r="J1" s="129"/>
      <c r="K1" s="129"/>
      <c r="L1" s="3"/>
      <c r="M1" s="3"/>
      <c r="N1" s="3"/>
      <c r="T1" s="9"/>
    </row>
    <row r="2" spans="1:23" ht="15" customHeight="1">
      <c r="F2" s="23"/>
      <c r="G2" s="129"/>
      <c r="H2" s="129"/>
      <c r="I2" s="129"/>
      <c r="J2" s="129"/>
      <c r="K2" s="129"/>
      <c r="L2" s="3"/>
      <c r="M2" s="3"/>
      <c r="N2" s="3"/>
      <c r="T2" s="9"/>
    </row>
    <row r="3" spans="1:23" ht="15" customHeight="1">
      <c r="F3" s="16"/>
      <c r="G3" s="129" t="str">
        <f>'LGR CCEE'!G3:K3</f>
        <v>Plan de Mantenimiento Preventivo Año: 2026</v>
      </c>
      <c r="H3" s="129"/>
      <c r="I3" s="129"/>
      <c r="J3" s="129"/>
      <c r="K3" s="129"/>
      <c r="L3" s="3"/>
      <c r="M3" s="3"/>
      <c r="N3" s="3"/>
      <c r="T3" s="9"/>
    </row>
    <row r="4" spans="1:23" ht="15" customHeight="1">
      <c r="F4" s="16"/>
      <c r="G4" s="129" t="s">
        <v>420</v>
      </c>
      <c r="H4" s="129"/>
      <c r="I4" s="129"/>
      <c r="J4" s="129"/>
      <c r="K4" s="129"/>
      <c r="L4" s="3"/>
      <c r="M4" s="3"/>
      <c r="N4" s="3"/>
      <c r="T4" s="9"/>
    </row>
    <row r="5" spans="1:23">
      <c r="E5" s="128" t="s">
        <v>16</v>
      </c>
      <c r="F5" s="128"/>
      <c r="G5" s="128" t="s">
        <v>18</v>
      </c>
      <c r="H5" s="128"/>
      <c r="I5" s="51"/>
    </row>
    <row r="6" spans="1:23">
      <c r="E6" s="128" t="s">
        <v>17</v>
      </c>
      <c r="F6" s="128"/>
      <c r="G6" s="129" t="s">
        <v>44</v>
      </c>
      <c r="H6" s="129"/>
    </row>
    <row r="8" spans="1:23" customFormat="1">
      <c r="A8" s="77" t="str">
        <f>+'LGR CCEE'!A8</f>
        <v>Km. al: 30/09/2025</v>
      </c>
      <c r="B8" s="78"/>
      <c r="C8" s="130" t="s">
        <v>40</v>
      </c>
      <c r="D8" s="130"/>
      <c r="E8" s="131" t="s">
        <v>41</v>
      </c>
      <c r="F8" s="131"/>
      <c r="G8" s="131"/>
      <c r="H8" s="132" t="str">
        <f>'LGR LOCS'!H8:S8</f>
        <v>AÑO 2026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spans="1:23">
      <c r="A9" s="33" t="s">
        <v>38</v>
      </c>
      <c r="B9" s="34" t="s">
        <v>36</v>
      </c>
      <c r="C9" s="34" t="s">
        <v>1</v>
      </c>
      <c r="D9" s="34" t="s">
        <v>2</v>
      </c>
      <c r="E9" s="34" t="s">
        <v>1</v>
      </c>
      <c r="F9" s="34" t="s">
        <v>3</v>
      </c>
      <c r="G9" s="34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</row>
    <row r="10" spans="1:23">
      <c r="A10" s="15" t="s">
        <v>154</v>
      </c>
      <c r="B10" s="28">
        <v>2521</v>
      </c>
      <c r="C10" s="10">
        <v>480709.2</v>
      </c>
      <c r="D10" s="21">
        <v>43672</v>
      </c>
      <c r="E10" s="10">
        <v>0</v>
      </c>
      <c r="F10" s="10" t="s">
        <v>310</v>
      </c>
      <c r="G10" s="21">
        <v>45923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 t="s">
        <v>424</v>
      </c>
      <c r="S10" s="53"/>
      <c r="T10" s="16"/>
      <c r="U10" s="16"/>
      <c r="V10" s="16"/>
      <c r="W10" s="16"/>
    </row>
    <row r="11" spans="1:23">
      <c r="A11" s="15" t="s">
        <v>154</v>
      </c>
      <c r="B11" s="28">
        <v>2524</v>
      </c>
      <c r="C11" s="10">
        <v>18355.400000000001</v>
      </c>
      <c r="D11" s="21">
        <v>45817</v>
      </c>
      <c r="E11" s="10">
        <v>4002.8</v>
      </c>
      <c r="F11" s="10" t="s">
        <v>306</v>
      </c>
      <c r="G11" s="21">
        <v>45918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 t="s">
        <v>310</v>
      </c>
      <c r="T11" s="16"/>
      <c r="U11" s="16"/>
      <c r="V11" s="16"/>
      <c r="W11" s="16"/>
    </row>
    <row r="12" spans="1:23">
      <c r="A12" s="15" t="s">
        <v>154</v>
      </c>
      <c r="B12" s="28">
        <v>2526</v>
      </c>
      <c r="C12" s="10">
        <v>483805.3</v>
      </c>
      <c r="D12" s="21">
        <v>43545</v>
      </c>
      <c r="E12" s="10">
        <v>8712.2000000000007</v>
      </c>
      <c r="F12" s="10" t="s">
        <v>310</v>
      </c>
      <c r="G12" s="21">
        <v>45841</v>
      </c>
      <c r="H12" s="53"/>
      <c r="I12" s="53"/>
      <c r="J12" s="53"/>
      <c r="K12" s="53"/>
      <c r="L12" s="53"/>
      <c r="M12" s="53"/>
      <c r="N12" s="53"/>
      <c r="O12" s="53" t="s">
        <v>424</v>
      </c>
      <c r="P12" s="53"/>
      <c r="Q12" s="53"/>
      <c r="R12" s="53"/>
      <c r="S12" s="53"/>
      <c r="T12" s="16"/>
      <c r="U12" s="16"/>
      <c r="V12" s="16"/>
      <c r="W12" s="16"/>
    </row>
    <row r="13" spans="1:23">
      <c r="A13" s="15" t="s">
        <v>154</v>
      </c>
      <c r="B13" s="28">
        <v>2530</v>
      </c>
      <c r="C13" s="10">
        <v>437898.7</v>
      </c>
      <c r="D13" s="21">
        <v>43165</v>
      </c>
      <c r="E13" s="10">
        <v>8782.2000000000007</v>
      </c>
      <c r="F13" s="10" t="s">
        <v>325</v>
      </c>
      <c r="G13" s="21">
        <v>45873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 t="s">
        <v>424</v>
      </c>
      <c r="T13" s="16"/>
      <c r="U13" s="16"/>
      <c r="V13" s="16"/>
      <c r="W13" s="16"/>
    </row>
    <row r="14" spans="1:23">
      <c r="A14" s="15" t="s">
        <v>154</v>
      </c>
      <c r="B14" s="28">
        <v>2533</v>
      </c>
      <c r="C14" s="48">
        <v>679540.799999999</v>
      </c>
      <c r="D14" s="49">
        <v>42185</v>
      </c>
      <c r="E14" s="48">
        <v>10059.799999999999</v>
      </c>
      <c r="F14" s="48" t="s">
        <v>325</v>
      </c>
      <c r="G14" s="49">
        <v>45798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 t="s">
        <v>424</v>
      </c>
      <c r="S14" s="53"/>
      <c r="T14" s="16"/>
      <c r="U14" s="16"/>
      <c r="V14" s="16"/>
      <c r="W14" s="16"/>
    </row>
    <row r="15" spans="1:23">
      <c r="A15" s="15" t="s">
        <v>154</v>
      </c>
      <c r="B15" s="28">
        <v>2555</v>
      </c>
      <c r="C15" s="48">
        <v>654434.50000000105</v>
      </c>
      <c r="D15" s="49">
        <v>43097</v>
      </c>
      <c r="E15" s="48">
        <v>13760</v>
      </c>
      <c r="F15" s="48" t="s">
        <v>325</v>
      </c>
      <c r="G15" s="49">
        <v>45890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 t="s">
        <v>424</v>
      </c>
      <c r="T15" s="16"/>
      <c r="U15" s="16"/>
      <c r="V15" s="16"/>
      <c r="W15" s="16"/>
    </row>
    <row r="16" spans="1:23">
      <c r="A16" s="59" t="s">
        <v>49</v>
      </c>
      <c r="B16" s="117">
        <v>2560</v>
      </c>
      <c r="C16" s="48"/>
      <c r="D16" s="49"/>
      <c r="E16" s="48"/>
      <c r="F16" s="48"/>
      <c r="G16" s="49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16"/>
      <c r="U16" s="16"/>
      <c r="V16" s="16"/>
      <c r="W16" s="16"/>
    </row>
    <row r="17" spans="1:23">
      <c r="A17" s="15" t="s">
        <v>154</v>
      </c>
      <c r="B17" s="28">
        <v>2569</v>
      </c>
      <c r="C17" s="48">
        <v>620931.50000000105</v>
      </c>
      <c r="D17" s="49">
        <v>42947</v>
      </c>
      <c r="E17" s="48">
        <v>13050.4</v>
      </c>
      <c r="F17" s="48" t="s">
        <v>325</v>
      </c>
      <c r="G17" s="49">
        <v>45826</v>
      </c>
      <c r="H17" s="53"/>
      <c r="I17" s="53" t="s">
        <v>424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16"/>
      <c r="U17" s="16"/>
      <c r="V17" s="16"/>
      <c r="W17" s="16"/>
    </row>
    <row r="18" spans="1:23">
      <c r="A18" s="15" t="s">
        <v>154</v>
      </c>
      <c r="B18" s="28">
        <v>2571</v>
      </c>
      <c r="C18" s="48">
        <v>649667.70000000205</v>
      </c>
      <c r="D18" s="21">
        <v>42341</v>
      </c>
      <c r="E18" s="10">
        <v>6331.8</v>
      </c>
      <c r="F18" s="10" t="s">
        <v>325</v>
      </c>
      <c r="G18" s="21">
        <v>45881</v>
      </c>
      <c r="H18" s="53" t="s">
        <v>424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16"/>
      <c r="U18" s="16"/>
      <c r="V18" s="16"/>
      <c r="W18" s="16"/>
    </row>
    <row r="19" spans="1:23">
      <c r="A19" s="15" t="s">
        <v>154</v>
      </c>
      <c r="B19" s="28">
        <v>2588</v>
      </c>
      <c r="C19" s="48">
        <v>569487.4</v>
      </c>
      <c r="D19" s="49">
        <v>43286</v>
      </c>
      <c r="E19" s="10">
        <v>7213.8</v>
      </c>
      <c r="F19" s="10" t="s">
        <v>310</v>
      </c>
      <c r="G19" s="21">
        <v>45814</v>
      </c>
      <c r="H19" s="53"/>
      <c r="I19" s="53"/>
      <c r="J19" s="53"/>
      <c r="K19" s="53"/>
      <c r="L19" s="53"/>
      <c r="M19" s="53"/>
      <c r="N19" s="53"/>
      <c r="O19" s="53" t="s">
        <v>424</v>
      </c>
      <c r="P19" s="53"/>
      <c r="Q19" s="53"/>
      <c r="R19" s="53"/>
      <c r="S19" s="53"/>
      <c r="T19" s="16"/>
      <c r="U19" s="16"/>
      <c r="V19" s="16"/>
      <c r="W19" s="16"/>
    </row>
    <row r="20" spans="1:23">
      <c r="A20" s="15" t="s">
        <v>154</v>
      </c>
      <c r="B20" s="28">
        <v>2591</v>
      </c>
      <c r="C20" s="48">
        <v>583320.00000000105</v>
      </c>
      <c r="D20" s="49">
        <v>43227</v>
      </c>
      <c r="E20" s="48">
        <v>635</v>
      </c>
      <c r="F20" s="48" t="s">
        <v>310</v>
      </c>
      <c r="G20" s="49">
        <v>45807</v>
      </c>
      <c r="H20" s="53"/>
      <c r="I20" s="53"/>
      <c r="J20" s="53"/>
      <c r="K20" s="53"/>
      <c r="L20" s="53"/>
      <c r="M20" s="53"/>
      <c r="N20" s="53" t="s">
        <v>424</v>
      </c>
      <c r="O20" s="53"/>
      <c r="P20" s="53"/>
      <c r="Q20" s="53"/>
      <c r="R20" s="53"/>
      <c r="S20" s="53"/>
      <c r="T20" s="16"/>
      <c r="U20" s="16"/>
      <c r="V20" s="16"/>
      <c r="W20" s="16"/>
    </row>
    <row r="21" spans="1:23">
      <c r="A21" s="15" t="s">
        <v>154</v>
      </c>
      <c r="B21" s="28">
        <v>2597</v>
      </c>
      <c r="C21" s="10">
        <v>7429.8</v>
      </c>
      <c r="D21" s="21">
        <v>45817</v>
      </c>
      <c r="E21" s="10">
        <v>7429.8</v>
      </c>
      <c r="F21" s="10" t="s">
        <v>325</v>
      </c>
      <c r="G21" s="21">
        <v>45832</v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16"/>
      <c r="U21" s="16"/>
      <c r="V21" s="16"/>
      <c r="W21" s="16"/>
    </row>
    <row r="22" spans="1:23">
      <c r="A22" s="15" t="s">
        <v>154</v>
      </c>
      <c r="B22" s="28">
        <v>2598</v>
      </c>
      <c r="C22" s="10">
        <v>313842.299999999</v>
      </c>
      <c r="D22" s="49">
        <v>43251</v>
      </c>
      <c r="E22" s="48">
        <v>2808.4</v>
      </c>
      <c r="F22" s="10" t="s">
        <v>310</v>
      </c>
      <c r="G22" s="49">
        <v>45799</v>
      </c>
      <c r="H22" s="53"/>
      <c r="I22" s="53"/>
      <c r="J22" s="53"/>
      <c r="K22" s="53"/>
      <c r="L22" s="53"/>
      <c r="M22" s="53"/>
      <c r="N22" s="53" t="s">
        <v>424</v>
      </c>
      <c r="O22" s="53"/>
      <c r="P22" s="53"/>
      <c r="Q22" s="53"/>
      <c r="R22" s="53"/>
      <c r="S22" s="53"/>
      <c r="T22" s="16"/>
      <c r="U22" s="16"/>
      <c r="V22" s="16"/>
      <c r="W22" s="16"/>
    </row>
    <row r="23" spans="1:23">
      <c r="A23" s="15" t="s">
        <v>154</v>
      </c>
      <c r="B23" s="28">
        <v>2612</v>
      </c>
      <c r="C23" s="10">
        <v>531053.200000001</v>
      </c>
      <c r="D23" s="21">
        <v>43564</v>
      </c>
      <c r="E23" s="10">
        <v>10598.4</v>
      </c>
      <c r="F23" s="10" t="s">
        <v>306</v>
      </c>
      <c r="G23" s="21">
        <v>45882</v>
      </c>
      <c r="H23" s="53"/>
      <c r="I23" s="53"/>
      <c r="J23" s="53" t="s">
        <v>424</v>
      </c>
      <c r="K23" s="53"/>
      <c r="L23" s="53"/>
      <c r="M23" s="53"/>
      <c r="N23" s="53"/>
      <c r="O23" s="53"/>
      <c r="P23" s="53"/>
      <c r="Q23" s="53"/>
      <c r="R23" s="53"/>
      <c r="S23" s="53"/>
      <c r="T23" s="16"/>
      <c r="U23" s="16"/>
      <c r="V23" s="16"/>
      <c r="W23" s="16"/>
    </row>
    <row r="24" spans="1:23">
      <c r="A24" s="15" t="s">
        <v>154</v>
      </c>
      <c r="B24" s="28">
        <v>2615</v>
      </c>
      <c r="C24" s="48">
        <v>122163.5</v>
      </c>
      <c r="D24" s="49">
        <v>45401</v>
      </c>
      <c r="E24" s="48">
        <v>3025.2</v>
      </c>
      <c r="F24" s="48" t="s">
        <v>310</v>
      </c>
      <c r="G24" s="49">
        <v>45883</v>
      </c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16"/>
      <c r="U24" s="16"/>
      <c r="V24" s="16"/>
      <c r="W24" s="16"/>
    </row>
    <row r="25" spans="1:23">
      <c r="A25" s="15" t="s">
        <v>154</v>
      </c>
      <c r="B25" s="28">
        <v>2621</v>
      </c>
      <c r="C25" s="10">
        <v>324755.99999999598</v>
      </c>
      <c r="D25" s="21">
        <v>43396</v>
      </c>
      <c r="E25" s="10">
        <v>0</v>
      </c>
      <c r="F25" s="10" t="s">
        <v>310</v>
      </c>
      <c r="G25" s="21">
        <v>45924</v>
      </c>
      <c r="H25" s="53"/>
      <c r="I25" s="53"/>
      <c r="J25" s="53"/>
      <c r="K25" s="53"/>
      <c r="L25" s="53"/>
      <c r="M25" s="53"/>
      <c r="N25" s="53" t="s">
        <v>424</v>
      </c>
      <c r="O25" s="53"/>
      <c r="P25" s="53"/>
      <c r="Q25" s="53"/>
      <c r="R25" s="53"/>
      <c r="S25" s="53"/>
      <c r="T25" s="16"/>
      <c r="U25" s="16"/>
      <c r="V25" s="16"/>
      <c r="W25" s="16"/>
    </row>
    <row r="26" spans="1:23">
      <c r="A26" s="15" t="s">
        <v>154</v>
      </c>
      <c r="B26" s="28">
        <v>2624</v>
      </c>
      <c r="C26" s="10">
        <v>575503.9</v>
      </c>
      <c r="D26" s="21">
        <v>43370</v>
      </c>
      <c r="E26" s="10">
        <v>5560</v>
      </c>
      <c r="F26" s="10" t="s">
        <v>325</v>
      </c>
      <c r="G26" s="21">
        <v>45768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 t="s">
        <v>424</v>
      </c>
      <c r="T26" s="16"/>
      <c r="U26" s="16"/>
      <c r="V26" s="16"/>
      <c r="W26" s="16"/>
    </row>
    <row r="27" spans="1:23">
      <c r="A27" s="15" t="s">
        <v>154</v>
      </c>
      <c r="B27" s="28">
        <v>2626</v>
      </c>
      <c r="C27" s="10">
        <v>588762.700000001</v>
      </c>
      <c r="D27" s="21">
        <v>43416</v>
      </c>
      <c r="E27" s="10">
        <v>9403</v>
      </c>
      <c r="F27" s="10" t="s">
        <v>306</v>
      </c>
      <c r="G27" s="21">
        <v>45854</v>
      </c>
      <c r="H27" s="53" t="s">
        <v>424</v>
      </c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16"/>
      <c r="U27" s="16"/>
      <c r="V27" s="16"/>
      <c r="W27" s="16"/>
    </row>
    <row r="28" spans="1:23">
      <c r="A28" s="15" t="s">
        <v>154</v>
      </c>
      <c r="B28" s="28">
        <v>2632</v>
      </c>
      <c r="C28" s="48" t="s">
        <v>421</v>
      </c>
      <c r="D28" s="49"/>
      <c r="E28" s="48"/>
      <c r="F28" s="48"/>
      <c r="G28" s="49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16"/>
      <c r="U28" s="16"/>
      <c r="V28" s="16"/>
      <c r="W28" s="16"/>
    </row>
    <row r="29" spans="1:23">
      <c r="A29" s="15" t="s">
        <v>49</v>
      </c>
      <c r="B29" s="28">
        <v>3019</v>
      </c>
      <c r="C29" s="10">
        <v>611711.80000000203</v>
      </c>
      <c r="D29" s="21">
        <v>43067</v>
      </c>
      <c r="E29" s="10">
        <v>635</v>
      </c>
      <c r="F29" s="10" t="s">
        <v>325</v>
      </c>
      <c r="G29" s="21">
        <v>45929</v>
      </c>
      <c r="H29" s="53"/>
      <c r="I29" s="53"/>
      <c r="J29" s="53"/>
      <c r="K29" s="53"/>
      <c r="L29" s="53" t="s">
        <v>424</v>
      </c>
      <c r="M29" s="53"/>
      <c r="N29" s="53"/>
      <c r="O29" s="53"/>
      <c r="P29" s="53"/>
      <c r="Q29" s="53"/>
      <c r="R29" s="53"/>
      <c r="S29" s="53"/>
      <c r="T29" s="16"/>
      <c r="U29" s="16"/>
      <c r="V29" s="16"/>
      <c r="W29" s="16"/>
    </row>
    <row r="30" spans="1:23">
      <c r="A30" s="59" t="s">
        <v>49</v>
      </c>
      <c r="B30" s="117">
        <v>3022</v>
      </c>
      <c r="C30" s="48"/>
      <c r="D30" s="49"/>
      <c r="E30" s="48"/>
      <c r="F30" s="48"/>
      <c r="G30" s="49"/>
      <c r="H30" s="53"/>
      <c r="I30" s="53"/>
      <c r="J30" s="53" t="s">
        <v>309</v>
      </c>
      <c r="K30" s="53"/>
      <c r="L30" s="53"/>
      <c r="M30" s="53"/>
      <c r="N30" s="53"/>
      <c r="O30" s="53"/>
      <c r="P30" s="53"/>
      <c r="Q30" s="53"/>
      <c r="R30" s="53"/>
      <c r="S30" s="53"/>
      <c r="T30" s="16"/>
      <c r="U30" s="16"/>
      <c r="V30" s="16"/>
      <c r="W30" s="16"/>
    </row>
    <row r="31" spans="1:23">
      <c r="A31" s="15" t="s">
        <v>49</v>
      </c>
      <c r="B31" s="28">
        <v>3038</v>
      </c>
      <c r="C31" s="48">
        <v>455555.19999999797</v>
      </c>
      <c r="D31" s="49">
        <v>42521</v>
      </c>
      <c r="E31" s="48">
        <v>2407.1999999999998</v>
      </c>
      <c r="F31" s="48" t="s">
        <v>325</v>
      </c>
      <c r="G31" s="49">
        <v>45905</v>
      </c>
      <c r="H31" s="53" t="s">
        <v>424</v>
      </c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16"/>
      <c r="U31" s="16"/>
      <c r="V31" s="16"/>
      <c r="W31" s="16"/>
    </row>
    <row r="32" spans="1:23">
      <c r="A32" s="15" t="s">
        <v>49</v>
      </c>
      <c r="B32" s="28">
        <v>3203</v>
      </c>
      <c r="C32" s="10">
        <v>381331.40000000101</v>
      </c>
      <c r="D32" s="21">
        <v>43767</v>
      </c>
      <c r="E32" s="10">
        <v>9802.4</v>
      </c>
      <c r="F32" s="10" t="s">
        <v>306</v>
      </c>
      <c r="G32" s="21">
        <v>45903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 t="s">
        <v>424</v>
      </c>
      <c r="S32" s="53"/>
      <c r="T32" s="16"/>
      <c r="U32" s="16"/>
      <c r="V32" s="16"/>
      <c r="W32" s="16"/>
    </row>
    <row r="33" spans="1:23">
      <c r="A33" s="15" t="s">
        <v>49</v>
      </c>
      <c r="B33" s="28">
        <v>3501</v>
      </c>
      <c r="C33" s="10">
        <v>481828.4</v>
      </c>
      <c r="D33" s="21">
        <v>43616</v>
      </c>
      <c r="E33" s="10">
        <v>4641.8</v>
      </c>
      <c r="F33" s="10" t="s">
        <v>310</v>
      </c>
      <c r="G33" s="21">
        <v>45838</v>
      </c>
      <c r="H33" s="53"/>
      <c r="I33" s="53"/>
      <c r="J33" s="53"/>
      <c r="K33" s="53"/>
      <c r="L33" s="53"/>
      <c r="M33" s="53"/>
      <c r="N33" s="53" t="s">
        <v>424</v>
      </c>
      <c r="O33" s="53"/>
      <c r="P33" s="53"/>
      <c r="Q33" s="53"/>
      <c r="R33" s="53"/>
      <c r="S33" s="53"/>
      <c r="T33" s="16"/>
      <c r="U33" s="16"/>
      <c r="V33" s="16"/>
      <c r="W33" s="16"/>
    </row>
    <row r="34" spans="1:23">
      <c r="A34" s="15" t="s">
        <v>49</v>
      </c>
      <c r="B34" s="28">
        <v>3503</v>
      </c>
      <c r="C34" s="10">
        <v>403591.4</v>
      </c>
      <c r="D34" s="21">
        <v>43711</v>
      </c>
      <c r="E34" s="10">
        <v>14729.8</v>
      </c>
      <c r="F34" s="10" t="s">
        <v>325</v>
      </c>
      <c r="G34" s="21">
        <v>45874</v>
      </c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 t="s">
        <v>424</v>
      </c>
      <c r="S34" s="53"/>
      <c r="T34" s="16"/>
      <c r="U34" s="16"/>
      <c r="V34" s="16"/>
      <c r="W34" s="16"/>
    </row>
    <row r="35" spans="1:23">
      <c r="A35" s="15" t="s">
        <v>49</v>
      </c>
      <c r="B35" s="28">
        <v>3504</v>
      </c>
      <c r="C35" s="48">
        <v>269251.40000000002</v>
      </c>
      <c r="D35" s="49">
        <v>43433</v>
      </c>
      <c r="E35" s="48">
        <v>0</v>
      </c>
      <c r="F35" s="48" t="s">
        <v>325</v>
      </c>
      <c r="G35" s="49">
        <v>45918</v>
      </c>
      <c r="H35" s="53"/>
      <c r="I35" s="53"/>
      <c r="J35" s="53"/>
      <c r="K35" s="53"/>
      <c r="L35" s="53"/>
      <c r="M35" s="53"/>
      <c r="N35" s="53"/>
      <c r="O35" s="53"/>
      <c r="P35" s="53"/>
      <c r="Q35" s="53" t="s">
        <v>310</v>
      </c>
      <c r="R35" s="53"/>
      <c r="S35" s="53"/>
      <c r="T35" s="16"/>
      <c r="U35" s="16"/>
      <c r="V35" s="16"/>
      <c r="W35" s="16"/>
    </row>
    <row r="36" spans="1:23">
      <c r="A36" s="15" t="s">
        <v>49</v>
      </c>
      <c r="B36" s="28">
        <v>3509</v>
      </c>
      <c r="C36" s="10">
        <v>430868.9</v>
      </c>
      <c r="D36" s="21">
        <v>43805</v>
      </c>
      <c r="E36" s="10">
        <v>0</v>
      </c>
      <c r="F36" s="10" t="s">
        <v>306</v>
      </c>
      <c r="G36" s="21">
        <v>45916</v>
      </c>
      <c r="H36" s="53" t="s">
        <v>424</v>
      </c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16"/>
      <c r="U36" s="16"/>
      <c r="V36" s="16"/>
      <c r="W36" s="16"/>
    </row>
    <row r="37" spans="1:23">
      <c r="A37" s="15" t="s">
        <v>49</v>
      </c>
      <c r="B37" s="28">
        <v>3524</v>
      </c>
      <c r="C37" s="48" t="s">
        <v>422</v>
      </c>
      <c r="D37" s="49"/>
      <c r="E37" s="48"/>
      <c r="F37" s="48"/>
      <c r="G37" s="49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16"/>
      <c r="U37" s="16"/>
      <c r="V37" s="16"/>
      <c r="W37" s="16"/>
    </row>
    <row r="38" spans="1:23">
      <c r="A38" s="15" t="s">
        <v>49</v>
      </c>
      <c r="B38" s="28">
        <v>3529</v>
      </c>
      <c r="C38" s="10">
        <v>121290.7</v>
      </c>
      <c r="D38" s="21">
        <v>44347</v>
      </c>
      <c r="E38" s="10">
        <v>5846</v>
      </c>
      <c r="F38" s="10" t="s">
        <v>310</v>
      </c>
      <c r="G38" s="21">
        <v>45678</v>
      </c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16"/>
      <c r="U38" s="16"/>
      <c r="V38" s="16"/>
      <c r="W38" s="16"/>
    </row>
    <row r="39" spans="1:23">
      <c r="A39" s="15" t="s">
        <v>49</v>
      </c>
      <c r="B39" s="28">
        <v>3534</v>
      </c>
      <c r="C39" s="10">
        <v>643799.6</v>
      </c>
      <c r="D39" s="21">
        <v>41560</v>
      </c>
      <c r="E39" s="10">
        <v>0</v>
      </c>
      <c r="F39" s="10" t="s">
        <v>310</v>
      </c>
      <c r="G39" s="21">
        <v>45876</v>
      </c>
      <c r="H39" s="53"/>
      <c r="I39" s="53"/>
      <c r="J39" s="53"/>
      <c r="K39" s="53"/>
      <c r="L39" s="53"/>
      <c r="M39" s="53" t="s">
        <v>424</v>
      </c>
      <c r="N39" s="53"/>
      <c r="O39" s="53"/>
      <c r="P39" s="53"/>
      <c r="Q39" s="53"/>
      <c r="R39" s="53"/>
      <c r="S39" s="53"/>
      <c r="T39" s="16"/>
      <c r="U39" s="16"/>
      <c r="V39" s="16"/>
      <c r="W39" s="16"/>
    </row>
    <row r="40" spans="1:23">
      <c r="A40" s="15" t="s">
        <v>49</v>
      </c>
      <c r="B40" s="28">
        <v>3545</v>
      </c>
      <c r="C40" s="10">
        <v>667599.80000000005</v>
      </c>
      <c r="D40" s="21">
        <v>42674</v>
      </c>
      <c r="E40" s="10">
        <v>11250.2</v>
      </c>
      <c r="F40" s="10" t="s">
        <v>306</v>
      </c>
      <c r="G40" s="21">
        <v>45824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 t="s">
        <v>424</v>
      </c>
      <c r="S40" s="53"/>
      <c r="T40" s="16"/>
      <c r="U40" s="16"/>
      <c r="V40" s="16"/>
      <c r="W40" s="16"/>
    </row>
    <row r="41" spans="1:23">
      <c r="A41" s="15" t="s">
        <v>49</v>
      </c>
      <c r="B41" s="28">
        <v>3547</v>
      </c>
      <c r="C41" s="48">
        <v>247353.8</v>
      </c>
      <c r="D41" s="21">
        <v>42811</v>
      </c>
      <c r="E41" s="10">
        <v>1805</v>
      </c>
      <c r="F41" s="10" t="s">
        <v>312</v>
      </c>
      <c r="G41" s="21">
        <v>45901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16"/>
      <c r="U41" s="16"/>
      <c r="V41" s="16"/>
      <c r="W41" s="16"/>
    </row>
    <row r="42" spans="1:23">
      <c r="A42" s="15" t="s">
        <v>49</v>
      </c>
      <c r="B42" s="28">
        <v>3558</v>
      </c>
      <c r="C42" s="10">
        <v>650991.1</v>
      </c>
      <c r="D42" s="49">
        <v>41439</v>
      </c>
      <c r="E42" s="48">
        <v>6498</v>
      </c>
      <c r="F42" s="10" t="s">
        <v>310</v>
      </c>
      <c r="G42" s="49">
        <v>45744</v>
      </c>
      <c r="H42" s="53"/>
      <c r="I42" s="53"/>
      <c r="J42" s="53"/>
      <c r="K42" s="53"/>
      <c r="L42" s="53"/>
      <c r="M42" s="53"/>
      <c r="N42" s="53" t="s">
        <v>424</v>
      </c>
      <c r="O42" s="53"/>
      <c r="P42" s="53"/>
      <c r="Q42" s="53"/>
      <c r="R42" s="53"/>
      <c r="S42" s="53"/>
      <c r="T42" s="16"/>
      <c r="U42" s="16"/>
      <c r="V42" s="16"/>
      <c r="W42" s="16"/>
    </row>
    <row r="43" spans="1:23">
      <c r="A43" s="15" t="s">
        <v>49</v>
      </c>
      <c r="B43" s="28">
        <v>3566</v>
      </c>
      <c r="C43" s="10">
        <v>428946.700000001</v>
      </c>
      <c r="D43" s="21">
        <v>42341</v>
      </c>
      <c r="E43" s="10">
        <v>9802.4</v>
      </c>
      <c r="F43" s="10" t="s">
        <v>306</v>
      </c>
      <c r="G43" s="21">
        <v>45903</v>
      </c>
      <c r="H43" s="53"/>
      <c r="I43" s="53"/>
      <c r="J43" s="53"/>
      <c r="K43" s="53"/>
      <c r="L43" s="53"/>
      <c r="M43" s="53"/>
      <c r="N43" s="53"/>
      <c r="O43" s="53"/>
      <c r="P43" s="53"/>
      <c r="Q43" s="53" t="s">
        <v>424</v>
      </c>
      <c r="R43" s="53"/>
      <c r="S43" s="53"/>
      <c r="T43" s="16"/>
      <c r="U43" s="16"/>
      <c r="V43" s="16"/>
      <c r="W43" s="16"/>
    </row>
    <row r="44" spans="1:23">
      <c r="A44" s="15" t="s">
        <v>49</v>
      </c>
      <c r="B44" s="28">
        <v>3570</v>
      </c>
      <c r="C44" s="10">
        <v>465667.2</v>
      </c>
      <c r="D44" s="21">
        <v>43605</v>
      </c>
      <c r="E44" s="10">
        <v>0</v>
      </c>
      <c r="F44" s="10" t="s">
        <v>310</v>
      </c>
      <c r="G44" s="21">
        <v>45902</v>
      </c>
      <c r="H44" s="53"/>
      <c r="I44" s="53"/>
      <c r="J44" s="53"/>
      <c r="K44" s="53"/>
      <c r="L44" s="53"/>
      <c r="M44" s="53"/>
      <c r="N44" s="53"/>
      <c r="O44" s="53"/>
      <c r="P44" s="53"/>
      <c r="Q44" s="53" t="s">
        <v>424</v>
      </c>
      <c r="R44" s="53"/>
      <c r="S44" s="53"/>
      <c r="T44" s="16"/>
      <c r="U44" s="16"/>
      <c r="V44" s="16"/>
      <c r="W44" s="16"/>
    </row>
    <row r="45" spans="1:23">
      <c r="A45" s="15" t="s">
        <v>49</v>
      </c>
      <c r="B45" s="28">
        <v>3580</v>
      </c>
      <c r="C45" s="10">
        <v>326326.00000000099</v>
      </c>
      <c r="D45" s="21">
        <v>43319</v>
      </c>
      <c r="E45" s="10">
        <v>9674.7999999999993</v>
      </c>
      <c r="F45" s="10" t="s">
        <v>306</v>
      </c>
      <c r="G45" s="21">
        <v>45909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 t="s">
        <v>424</v>
      </c>
      <c r="T45" s="16"/>
      <c r="U45" s="16"/>
      <c r="V45" s="16"/>
      <c r="W45" s="16"/>
    </row>
    <row r="46" spans="1:23">
      <c r="A46" s="15" t="s">
        <v>49</v>
      </c>
      <c r="B46" s="28">
        <v>3601</v>
      </c>
      <c r="C46" s="48" t="s">
        <v>423</v>
      </c>
      <c r="D46" s="49"/>
      <c r="E46" s="48"/>
      <c r="F46" s="48"/>
      <c r="G46" s="49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16"/>
      <c r="U46" s="16"/>
      <c r="V46" s="16"/>
      <c r="W46" s="16"/>
    </row>
    <row r="47" spans="1:23">
      <c r="A47" s="15" t="s">
        <v>49</v>
      </c>
      <c r="B47" s="28">
        <v>3606</v>
      </c>
      <c r="C47" s="48">
        <v>481136.6</v>
      </c>
      <c r="D47" s="49">
        <v>42781</v>
      </c>
      <c r="E47" s="48">
        <v>11495.2</v>
      </c>
      <c r="F47" s="48" t="s">
        <v>306</v>
      </c>
      <c r="G47" s="49">
        <v>45796</v>
      </c>
      <c r="H47" s="53"/>
      <c r="I47" s="53"/>
      <c r="J47" s="53"/>
      <c r="K47" s="53"/>
      <c r="L47" s="53"/>
      <c r="M47" s="53"/>
      <c r="N47" s="53"/>
      <c r="O47" s="53"/>
      <c r="P47" s="53"/>
      <c r="Q47" s="53" t="s">
        <v>424</v>
      </c>
      <c r="R47" s="53"/>
      <c r="S47" s="53"/>
      <c r="T47" s="16"/>
      <c r="U47" s="16"/>
      <c r="V47" s="16"/>
      <c r="W47" s="16"/>
    </row>
    <row r="48" spans="1:23">
      <c r="A48" s="59" t="s">
        <v>49</v>
      </c>
      <c r="B48" s="117">
        <v>3611</v>
      </c>
      <c r="C48" s="48"/>
      <c r="D48" s="49"/>
      <c r="E48" s="48"/>
      <c r="F48" s="48"/>
      <c r="G48" s="49"/>
      <c r="H48" s="53" t="s">
        <v>309</v>
      </c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16"/>
      <c r="U48" s="16"/>
      <c r="V48" s="16"/>
      <c r="W48" s="16"/>
    </row>
    <row r="49" spans="1:23">
      <c r="A49" s="15" t="s">
        <v>49</v>
      </c>
      <c r="B49" s="28">
        <v>3617</v>
      </c>
      <c r="C49" s="10">
        <v>540244.700000001</v>
      </c>
      <c r="D49" s="21">
        <v>42891</v>
      </c>
      <c r="E49" s="10">
        <v>5049.3999999999996</v>
      </c>
      <c r="F49" s="10" t="s">
        <v>325</v>
      </c>
      <c r="G49" s="21">
        <v>45908</v>
      </c>
      <c r="H49" s="53"/>
      <c r="I49" s="53" t="s">
        <v>424</v>
      </c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16"/>
      <c r="U49" s="16"/>
      <c r="V49" s="16"/>
      <c r="W49" s="16"/>
    </row>
    <row r="50" spans="1:23">
      <c r="A50" s="15" t="s">
        <v>49</v>
      </c>
      <c r="B50" s="28">
        <v>3618</v>
      </c>
      <c r="C50" s="10">
        <v>437478.40000000101</v>
      </c>
      <c r="D50" s="21">
        <v>42978</v>
      </c>
      <c r="E50" s="10">
        <v>12676.2</v>
      </c>
      <c r="F50" s="10" t="s">
        <v>325</v>
      </c>
      <c r="G50" s="21">
        <v>45883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 t="s">
        <v>424</v>
      </c>
      <c r="S50" s="53"/>
      <c r="T50" s="16"/>
      <c r="U50" s="16"/>
      <c r="V50" s="16"/>
      <c r="W50" s="16"/>
    </row>
    <row r="51" spans="1:23">
      <c r="A51" s="15" t="s">
        <v>49</v>
      </c>
      <c r="B51" s="28">
        <v>3620</v>
      </c>
      <c r="C51" s="10">
        <v>376528.8</v>
      </c>
      <c r="D51" s="21">
        <v>42341</v>
      </c>
      <c r="E51" s="10">
        <v>11872.4</v>
      </c>
      <c r="F51" s="10" t="s">
        <v>310</v>
      </c>
      <c r="G51" s="21">
        <v>45868</v>
      </c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 t="s">
        <v>424</v>
      </c>
      <c r="T51" s="16"/>
      <c r="U51" s="16"/>
      <c r="V51" s="16"/>
      <c r="W51" s="16"/>
    </row>
    <row r="52" spans="1:23">
      <c r="A52" s="15" t="s">
        <v>49</v>
      </c>
      <c r="B52" s="28">
        <v>3646</v>
      </c>
      <c r="C52" s="48" t="s">
        <v>421</v>
      </c>
      <c r="D52" s="49"/>
      <c r="E52" s="48"/>
      <c r="F52" s="48"/>
      <c r="G52" s="49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16"/>
      <c r="U52" s="16"/>
      <c r="V52" s="16"/>
      <c r="W52" s="16"/>
    </row>
    <row r="53" spans="1:23">
      <c r="A53" s="15" t="s">
        <v>49</v>
      </c>
      <c r="B53" s="28">
        <v>3678</v>
      </c>
      <c r="C53" s="10">
        <v>408495.2</v>
      </c>
      <c r="D53" s="21">
        <v>43794</v>
      </c>
      <c r="E53" s="10">
        <v>11793.6</v>
      </c>
      <c r="F53" s="10" t="s">
        <v>325</v>
      </c>
      <c r="G53" s="21">
        <v>45792</v>
      </c>
      <c r="H53" s="53"/>
      <c r="I53" s="53"/>
      <c r="J53" s="53"/>
      <c r="K53" s="53"/>
      <c r="L53" s="53"/>
      <c r="M53" s="53"/>
      <c r="N53" s="53"/>
      <c r="O53" s="53"/>
      <c r="P53" s="53"/>
      <c r="Q53" s="53" t="s">
        <v>424</v>
      </c>
      <c r="R53" s="53"/>
      <c r="S53" s="53"/>
      <c r="T53" s="16"/>
      <c r="U53" s="16"/>
      <c r="V53" s="16"/>
      <c r="W53" s="16"/>
    </row>
    <row r="54" spans="1:23">
      <c r="A54" s="15" t="s">
        <v>49</v>
      </c>
      <c r="B54" s="28">
        <v>3685</v>
      </c>
      <c r="C54" s="10">
        <v>387370.60000000102</v>
      </c>
      <c r="D54" s="21">
        <v>43203</v>
      </c>
      <c r="E54" s="10">
        <v>6348.8</v>
      </c>
      <c r="F54" s="10" t="s">
        <v>306</v>
      </c>
      <c r="G54" s="21">
        <v>45901</v>
      </c>
      <c r="H54" s="53" t="s">
        <v>424</v>
      </c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16"/>
      <c r="U54" s="16"/>
      <c r="V54" s="16"/>
      <c r="W54" s="16"/>
    </row>
    <row r="55" spans="1:23">
      <c r="A55" s="15" t="s">
        <v>49</v>
      </c>
      <c r="B55" s="28">
        <v>3694</v>
      </c>
      <c r="C55" s="10">
        <v>439956.40000000101</v>
      </c>
      <c r="D55" s="21">
        <v>43829</v>
      </c>
      <c r="E55" s="10">
        <v>0</v>
      </c>
      <c r="F55" s="10" t="s">
        <v>310</v>
      </c>
      <c r="G55" s="21">
        <v>45909</v>
      </c>
      <c r="H55" s="53"/>
      <c r="I55" s="53"/>
      <c r="J55" s="53"/>
      <c r="K55" s="53"/>
      <c r="L55" s="53"/>
      <c r="M55" s="53"/>
      <c r="N55" s="53"/>
      <c r="O55" s="53"/>
      <c r="P55" s="53" t="s">
        <v>424</v>
      </c>
      <c r="Q55" s="53"/>
      <c r="R55" s="53"/>
      <c r="S55" s="53"/>
      <c r="T55" s="16"/>
      <c r="U55" s="16"/>
      <c r="V55" s="16"/>
      <c r="W55" s="16"/>
    </row>
    <row r="56" spans="1:23">
      <c r="A56" s="15" t="s">
        <v>49</v>
      </c>
      <c r="B56" s="28">
        <v>3701</v>
      </c>
      <c r="C56" s="48">
        <v>481236.3</v>
      </c>
      <c r="D56" s="21">
        <v>42902</v>
      </c>
      <c r="E56" s="10">
        <v>14744.6</v>
      </c>
      <c r="F56" s="10" t="s">
        <v>306</v>
      </c>
      <c r="G56" s="21">
        <v>45793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 t="s">
        <v>424</v>
      </c>
      <c r="S56" s="53"/>
      <c r="T56" s="16"/>
      <c r="U56" s="16"/>
      <c r="V56" s="16"/>
      <c r="W56" s="16"/>
    </row>
    <row r="57" spans="1:23">
      <c r="A57" s="15" t="s">
        <v>49</v>
      </c>
      <c r="B57" s="28">
        <v>3715</v>
      </c>
      <c r="C57" s="48">
        <v>374293.8</v>
      </c>
      <c r="D57" s="21">
        <v>43748</v>
      </c>
      <c r="E57" s="48">
        <v>7270.4</v>
      </c>
      <c r="F57" s="10" t="s">
        <v>306</v>
      </c>
      <c r="G57" s="49">
        <v>45897</v>
      </c>
      <c r="H57" s="53"/>
      <c r="I57" s="53"/>
      <c r="J57" s="53"/>
      <c r="K57" s="53"/>
      <c r="L57" s="53" t="s">
        <v>424</v>
      </c>
      <c r="M57" s="53"/>
      <c r="N57" s="53"/>
      <c r="O57" s="53"/>
      <c r="P57" s="53"/>
      <c r="Q57" s="53"/>
      <c r="R57" s="53"/>
      <c r="S57" s="53"/>
      <c r="T57" s="16"/>
      <c r="U57" s="16"/>
      <c r="V57" s="16"/>
      <c r="W57" s="16"/>
    </row>
    <row r="58" spans="1:23">
      <c r="A58" s="15" t="s">
        <v>49</v>
      </c>
      <c r="B58" s="28">
        <v>3716</v>
      </c>
      <c r="C58" s="10">
        <v>342047.7</v>
      </c>
      <c r="D58" s="49">
        <v>44298</v>
      </c>
      <c r="E58" s="10">
        <v>0</v>
      </c>
      <c r="F58" s="10" t="s">
        <v>312</v>
      </c>
      <c r="G58" s="21">
        <v>45926</v>
      </c>
      <c r="H58" s="53"/>
      <c r="I58" s="53"/>
      <c r="J58" s="54"/>
      <c r="K58" s="53"/>
      <c r="L58" s="53"/>
      <c r="M58" s="53"/>
      <c r="N58" s="53"/>
      <c r="O58" s="53"/>
      <c r="P58" s="53"/>
      <c r="Q58" s="53"/>
      <c r="R58" s="53"/>
      <c r="S58" s="53"/>
      <c r="T58" s="16"/>
      <c r="U58" s="16"/>
      <c r="V58" s="16"/>
      <c r="W58" s="16"/>
    </row>
    <row r="59" spans="1:23">
      <c r="A59" s="15" t="s">
        <v>49</v>
      </c>
      <c r="B59" s="28">
        <v>3717</v>
      </c>
      <c r="C59" s="10">
        <v>592309.30000000203</v>
      </c>
      <c r="D59" s="21">
        <v>42916</v>
      </c>
      <c r="E59" s="10">
        <v>635</v>
      </c>
      <c r="F59" s="10" t="s">
        <v>306</v>
      </c>
      <c r="G59" s="21">
        <v>45929</v>
      </c>
      <c r="H59" s="53"/>
      <c r="I59" s="53"/>
      <c r="J59" s="53"/>
      <c r="K59" s="53"/>
      <c r="L59" s="53" t="s">
        <v>424</v>
      </c>
      <c r="M59" s="53"/>
      <c r="N59" s="53"/>
      <c r="O59" s="53"/>
      <c r="P59" s="53"/>
      <c r="Q59" s="53"/>
      <c r="R59" s="53"/>
      <c r="S59" s="53"/>
      <c r="T59" s="16"/>
      <c r="U59" s="16"/>
      <c r="V59" s="16"/>
      <c r="W59" s="16"/>
    </row>
    <row r="60" spans="1:23">
      <c r="A60" s="15" t="s">
        <v>49</v>
      </c>
      <c r="B60" s="28">
        <v>3727</v>
      </c>
      <c r="C60" s="48">
        <v>67274.600000000093</v>
      </c>
      <c r="D60" s="49">
        <v>45568</v>
      </c>
      <c r="E60" s="48">
        <v>5049.3999999999996</v>
      </c>
      <c r="F60" s="48" t="s">
        <v>325</v>
      </c>
      <c r="G60" s="49">
        <v>45908</v>
      </c>
      <c r="H60" s="53"/>
      <c r="I60" s="53"/>
      <c r="J60" s="53"/>
      <c r="K60" s="53"/>
      <c r="L60" s="53" t="s">
        <v>310</v>
      </c>
      <c r="M60" s="53"/>
      <c r="N60" s="53"/>
      <c r="O60" s="53"/>
      <c r="P60" s="53"/>
      <c r="Q60" s="53"/>
      <c r="R60" s="53"/>
      <c r="S60" s="53"/>
      <c r="T60" s="16"/>
      <c r="U60" s="16"/>
      <c r="V60" s="16"/>
      <c r="W60" s="16"/>
    </row>
    <row r="61" spans="1:23">
      <c r="A61" s="15" t="s">
        <v>49</v>
      </c>
      <c r="B61" s="28">
        <v>3734</v>
      </c>
      <c r="C61" s="10">
        <v>397311.00000000099</v>
      </c>
      <c r="D61" s="21">
        <v>43700</v>
      </c>
      <c r="E61" s="10">
        <v>7110.4</v>
      </c>
      <c r="F61" s="10" t="s">
        <v>325</v>
      </c>
      <c r="G61" s="21">
        <v>45890</v>
      </c>
      <c r="H61" s="53" t="s">
        <v>424</v>
      </c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16"/>
      <c r="U61" s="16"/>
      <c r="V61" s="16"/>
      <c r="W61" s="16"/>
    </row>
    <row r="62" spans="1:23">
      <c r="A62" s="15" t="s">
        <v>49</v>
      </c>
      <c r="B62" s="28">
        <v>3738</v>
      </c>
      <c r="C62" s="48">
        <v>587064.00000000198</v>
      </c>
      <c r="D62" s="49">
        <v>43273</v>
      </c>
      <c r="E62" s="48">
        <v>0</v>
      </c>
      <c r="F62" s="48" t="s">
        <v>306</v>
      </c>
      <c r="G62" s="49">
        <v>45902</v>
      </c>
      <c r="H62" s="53"/>
      <c r="I62" s="53"/>
      <c r="J62" s="53"/>
      <c r="K62" s="53"/>
      <c r="L62" s="53"/>
      <c r="M62" s="53" t="s">
        <v>424</v>
      </c>
      <c r="N62" s="53"/>
      <c r="O62" s="53"/>
      <c r="P62" s="53"/>
      <c r="Q62" s="53"/>
      <c r="R62" s="53"/>
      <c r="S62" s="53"/>
      <c r="T62" s="16"/>
      <c r="U62" s="16"/>
      <c r="V62" s="16"/>
      <c r="W62" s="16"/>
    </row>
    <row r="63" spans="1:23">
      <c r="A63" s="15" t="s">
        <v>49</v>
      </c>
      <c r="B63" s="28">
        <v>3749</v>
      </c>
      <c r="C63" s="10">
        <v>473260.09999999701</v>
      </c>
      <c r="D63" s="21">
        <v>43005</v>
      </c>
      <c r="E63" s="10">
        <v>2407.1999999999998</v>
      </c>
      <c r="F63" s="10" t="s">
        <v>306</v>
      </c>
      <c r="G63" s="21">
        <v>45894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 t="s">
        <v>424</v>
      </c>
      <c r="T63" s="16"/>
      <c r="U63" s="16"/>
      <c r="V63" s="16"/>
      <c r="W63" s="16"/>
    </row>
    <row r="64" spans="1:23">
      <c r="A64" s="15" t="s">
        <v>49</v>
      </c>
      <c r="B64" s="28">
        <v>3753</v>
      </c>
      <c r="C64" s="48">
        <v>571572.00000000105</v>
      </c>
      <c r="D64" s="21">
        <v>42551</v>
      </c>
      <c r="E64" s="10">
        <v>1794</v>
      </c>
      <c r="F64" s="10" t="s">
        <v>325</v>
      </c>
      <c r="G64" s="21">
        <v>45755</v>
      </c>
      <c r="H64" s="53"/>
      <c r="I64" s="53" t="s">
        <v>424</v>
      </c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16"/>
      <c r="U64" s="16"/>
      <c r="V64" s="16"/>
      <c r="W64" s="16"/>
    </row>
    <row r="65" spans="1:23">
      <c r="A65" s="15" t="s">
        <v>49</v>
      </c>
      <c r="B65" s="28">
        <v>3765</v>
      </c>
      <c r="C65" s="10">
        <v>534523.6</v>
      </c>
      <c r="D65" s="21">
        <v>43516</v>
      </c>
      <c r="E65" s="10">
        <v>15653</v>
      </c>
      <c r="F65" s="10" t="s">
        <v>306</v>
      </c>
      <c r="G65" s="21">
        <v>45873</v>
      </c>
      <c r="H65" s="53" t="s">
        <v>424</v>
      </c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16"/>
      <c r="U65" s="16"/>
      <c r="V65" s="16"/>
      <c r="W65" s="16"/>
    </row>
    <row r="66" spans="1:23">
      <c r="A66" s="15" t="s">
        <v>49</v>
      </c>
      <c r="B66" s="28">
        <v>3768</v>
      </c>
      <c r="C66" s="10">
        <v>401717.8</v>
      </c>
      <c r="D66" s="21">
        <v>43945</v>
      </c>
      <c r="E66" s="10">
        <v>10075</v>
      </c>
      <c r="F66" s="10" t="s">
        <v>325</v>
      </c>
      <c r="G66" s="21">
        <v>45889</v>
      </c>
      <c r="H66" s="53"/>
      <c r="I66" s="53"/>
      <c r="J66" s="53" t="s">
        <v>424</v>
      </c>
      <c r="K66" s="53"/>
      <c r="L66" s="53"/>
      <c r="M66" s="53"/>
      <c r="N66" s="53"/>
      <c r="O66" s="53"/>
      <c r="P66" s="53"/>
      <c r="Q66" s="53"/>
      <c r="R66" s="53"/>
      <c r="S66" s="53"/>
      <c r="T66" s="16"/>
      <c r="U66" s="16"/>
      <c r="V66" s="16"/>
      <c r="W66" s="16"/>
    </row>
    <row r="67" spans="1:23">
      <c r="A67" s="15" t="s">
        <v>49</v>
      </c>
      <c r="B67" s="28">
        <v>3770</v>
      </c>
      <c r="C67" s="10">
        <v>574219.9</v>
      </c>
      <c r="D67" s="21">
        <v>43098</v>
      </c>
      <c r="E67" s="10">
        <v>2380.4</v>
      </c>
      <c r="F67" s="10" t="s">
        <v>325</v>
      </c>
      <c r="G67" s="21">
        <v>45923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 t="s">
        <v>424</v>
      </c>
      <c r="S67" s="53"/>
      <c r="T67" s="16"/>
      <c r="U67" s="16"/>
      <c r="V67" s="16"/>
      <c r="W67" s="16"/>
    </row>
    <row r="68" spans="1:23">
      <c r="A68" s="15" t="s">
        <v>49</v>
      </c>
      <c r="B68" s="28">
        <v>3811</v>
      </c>
      <c r="C68" s="10">
        <v>593902.00000000198</v>
      </c>
      <c r="D68" s="21">
        <v>43033</v>
      </c>
      <c r="E68" s="10">
        <v>0</v>
      </c>
      <c r="F68" s="10" t="s">
        <v>306</v>
      </c>
      <c r="G68" s="21">
        <v>45930</v>
      </c>
      <c r="H68" s="53"/>
      <c r="I68" s="53"/>
      <c r="J68" s="53"/>
      <c r="K68" s="53"/>
      <c r="L68" s="53"/>
      <c r="M68" s="53" t="s">
        <v>424</v>
      </c>
      <c r="N68" s="53"/>
      <c r="O68" s="53"/>
      <c r="P68" s="53"/>
      <c r="Q68" s="53"/>
      <c r="R68" s="53"/>
      <c r="S68" s="53"/>
      <c r="T68" s="16"/>
      <c r="U68" s="16"/>
      <c r="V68" s="16"/>
      <c r="W68" s="16"/>
    </row>
    <row r="69" spans="1:23">
      <c r="A69" s="15"/>
      <c r="B69" s="28"/>
      <c r="C69" s="10"/>
      <c r="D69" s="21"/>
      <c r="E69" s="10"/>
      <c r="F69" s="10"/>
      <c r="G69" s="21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16"/>
      <c r="U69" s="16"/>
      <c r="V69" s="16"/>
      <c r="W69" s="16"/>
    </row>
    <row r="70" spans="1:23">
      <c r="A70" s="88"/>
      <c r="B70" s="89"/>
      <c r="C70" s="90"/>
      <c r="D70" s="91"/>
      <c r="E70" s="90"/>
      <c r="F70" s="90"/>
      <c r="G70" s="91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16"/>
      <c r="U70" s="16"/>
      <c r="V70" s="16"/>
      <c r="W70" s="16"/>
    </row>
    <row r="71" spans="1:23">
      <c r="A71" s="102" t="s">
        <v>407</v>
      </c>
      <c r="B71" s="1">
        <v>2560</v>
      </c>
      <c r="C71" s="129" t="s">
        <v>513</v>
      </c>
      <c r="D71" s="129"/>
      <c r="E71" s="129"/>
    </row>
    <row r="72" spans="1:23">
      <c r="A72" s="8"/>
      <c r="B72" s="8"/>
      <c r="F72" s="13">
        <v>1</v>
      </c>
      <c r="G72" s="13" t="s">
        <v>310</v>
      </c>
      <c r="H72" s="60">
        <f t="shared" ref="H72:S72" si="0">COUNTIF(H10:H69,"ABC")</f>
        <v>0</v>
      </c>
      <c r="I72" s="60">
        <f t="shared" si="0"/>
        <v>0</v>
      </c>
      <c r="J72" s="60">
        <f t="shared" si="0"/>
        <v>0</v>
      </c>
      <c r="K72" s="60">
        <f t="shared" si="0"/>
        <v>0</v>
      </c>
      <c r="L72" s="60">
        <f t="shared" si="0"/>
        <v>1</v>
      </c>
      <c r="M72" s="60">
        <f t="shared" si="0"/>
        <v>0</v>
      </c>
      <c r="N72" s="60">
        <f t="shared" si="0"/>
        <v>0</v>
      </c>
      <c r="O72" s="60">
        <f t="shared" si="0"/>
        <v>0</v>
      </c>
      <c r="P72" s="60">
        <f t="shared" si="0"/>
        <v>0</v>
      </c>
      <c r="Q72" s="60">
        <f t="shared" si="0"/>
        <v>1</v>
      </c>
      <c r="R72" s="60">
        <f t="shared" si="0"/>
        <v>0</v>
      </c>
      <c r="S72" s="60">
        <f t="shared" si="0"/>
        <v>1</v>
      </c>
      <c r="T72" s="60">
        <f>SUM(H72:S72)</f>
        <v>3</v>
      </c>
    </row>
    <row r="73" spans="1:23">
      <c r="A73" s="8"/>
      <c r="B73" s="8"/>
      <c r="F73" s="13" t="s">
        <v>425</v>
      </c>
      <c r="G73" s="13" t="s">
        <v>399</v>
      </c>
      <c r="H73" s="60">
        <f t="shared" ref="H73:S73" si="1">COUNTIF(H10:H69,"ABC+BV")</f>
        <v>7</v>
      </c>
      <c r="I73" s="60">
        <f t="shared" si="1"/>
        <v>3</v>
      </c>
      <c r="J73" s="60">
        <f t="shared" si="1"/>
        <v>2</v>
      </c>
      <c r="K73" s="60">
        <f t="shared" si="1"/>
        <v>0</v>
      </c>
      <c r="L73" s="60">
        <f t="shared" si="1"/>
        <v>3</v>
      </c>
      <c r="M73" s="60">
        <f t="shared" si="1"/>
        <v>3</v>
      </c>
      <c r="N73" s="60">
        <f t="shared" si="1"/>
        <v>5</v>
      </c>
      <c r="O73" s="60">
        <f t="shared" si="1"/>
        <v>2</v>
      </c>
      <c r="P73" s="60">
        <f t="shared" si="1"/>
        <v>1</v>
      </c>
      <c r="Q73" s="60">
        <f t="shared" si="1"/>
        <v>4</v>
      </c>
      <c r="R73" s="60">
        <f t="shared" si="1"/>
        <v>8</v>
      </c>
      <c r="S73" s="60">
        <f t="shared" si="1"/>
        <v>6</v>
      </c>
      <c r="T73" s="60">
        <f>SUM(H73:S73)</f>
        <v>44</v>
      </c>
    </row>
    <row r="74" spans="1:23">
      <c r="A74" s="8"/>
      <c r="B74" s="8"/>
      <c r="F74" s="13" t="s">
        <v>426</v>
      </c>
      <c r="G74" s="13" t="s">
        <v>419</v>
      </c>
      <c r="H74" s="60">
        <f>+H73+H72</f>
        <v>7</v>
      </c>
      <c r="I74" s="60">
        <f t="shared" ref="I74:S74" si="2">+I73+I72</f>
        <v>3</v>
      </c>
      <c r="J74" s="60">
        <f t="shared" si="2"/>
        <v>2</v>
      </c>
      <c r="K74" s="60">
        <f t="shared" si="2"/>
        <v>0</v>
      </c>
      <c r="L74" s="60">
        <f t="shared" si="2"/>
        <v>4</v>
      </c>
      <c r="M74" s="60">
        <f t="shared" si="2"/>
        <v>3</v>
      </c>
      <c r="N74" s="60">
        <f t="shared" si="2"/>
        <v>5</v>
      </c>
      <c r="O74" s="60">
        <f t="shared" si="2"/>
        <v>2</v>
      </c>
      <c r="P74" s="60">
        <f t="shared" si="2"/>
        <v>1</v>
      </c>
      <c r="Q74" s="60">
        <f t="shared" si="2"/>
        <v>5</v>
      </c>
      <c r="R74" s="60">
        <f t="shared" si="2"/>
        <v>8</v>
      </c>
      <c r="S74" s="60">
        <f t="shared" si="2"/>
        <v>7</v>
      </c>
      <c r="T74" s="60">
        <f>SUM(H74:S74)</f>
        <v>47</v>
      </c>
    </row>
    <row r="75" spans="1:23">
      <c r="A75" s="7"/>
      <c r="B75" s="7"/>
      <c r="C75" s="3"/>
      <c r="D75" s="3"/>
      <c r="F75" s="13">
        <v>2</v>
      </c>
      <c r="G75" s="13" t="s">
        <v>312</v>
      </c>
      <c r="H75" s="60">
        <f t="shared" ref="H75:S75" si="3">COUNTIF(H10:H69,"RP")</f>
        <v>0</v>
      </c>
      <c r="I75" s="60">
        <f t="shared" si="3"/>
        <v>0</v>
      </c>
      <c r="J75" s="60">
        <f t="shared" si="3"/>
        <v>0</v>
      </c>
      <c r="K75" s="60">
        <f t="shared" si="3"/>
        <v>0</v>
      </c>
      <c r="L75" s="60">
        <f t="shared" si="3"/>
        <v>0</v>
      </c>
      <c r="M75" s="60">
        <f t="shared" si="3"/>
        <v>0</v>
      </c>
      <c r="N75" s="60">
        <f t="shared" si="3"/>
        <v>0</v>
      </c>
      <c r="O75" s="60">
        <f t="shared" si="3"/>
        <v>0</v>
      </c>
      <c r="P75" s="60">
        <f t="shared" si="3"/>
        <v>0</v>
      </c>
      <c r="Q75" s="60">
        <f t="shared" si="3"/>
        <v>0</v>
      </c>
      <c r="R75" s="60">
        <f t="shared" si="3"/>
        <v>0</v>
      </c>
      <c r="S75" s="60">
        <f t="shared" si="3"/>
        <v>0</v>
      </c>
      <c r="T75" s="60">
        <f>SUM(H75:S75)</f>
        <v>0</v>
      </c>
    </row>
    <row r="76" spans="1:23">
      <c r="A76" s="8"/>
      <c r="B76" s="8"/>
      <c r="F76" s="13">
        <v>3</v>
      </c>
      <c r="G76" s="13" t="s">
        <v>309</v>
      </c>
      <c r="H76" s="60">
        <f t="shared" ref="H76:S76" si="4">COUNTIF(H13:H72,"RG")</f>
        <v>1</v>
      </c>
      <c r="I76" s="60">
        <f t="shared" si="4"/>
        <v>0</v>
      </c>
      <c r="J76" s="60">
        <f t="shared" si="4"/>
        <v>1</v>
      </c>
      <c r="K76" s="60">
        <f t="shared" si="4"/>
        <v>0</v>
      </c>
      <c r="L76" s="60">
        <f t="shared" si="4"/>
        <v>0</v>
      </c>
      <c r="M76" s="60">
        <f t="shared" si="4"/>
        <v>0</v>
      </c>
      <c r="N76" s="60">
        <f t="shared" si="4"/>
        <v>0</v>
      </c>
      <c r="O76" s="60">
        <f t="shared" si="4"/>
        <v>0</v>
      </c>
      <c r="P76" s="60">
        <f t="shared" si="4"/>
        <v>0</v>
      </c>
      <c r="Q76" s="60">
        <f t="shared" si="4"/>
        <v>0</v>
      </c>
      <c r="R76" s="60">
        <f t="shared" si="4"/>
        <v>0</v>
      </c>
      <c r="S76" s="60">
        <f t="shared" si="4"/>
        <v>0</v>
      </c>
      <c r="T76" s="60">
        <f>SUM(H76:S76)</f>
        <v>2</v>
      </c>
    </row>
    <row r="77" spans="1:23">
      <c r="A77" s="7"/>
      <c r="B77" s="7"/>
    </row>
    <row r="78" spans="1:23">
      <c r="A78" s="1"/>
      <c r="B78" s="1"/>
    </row>
    <row r="79" spans="1:23">
      <c r="A79" s="1"/>
      <c r="B79" s="1"/>
    </row>
  </sheetData>
  <mergeCells count="11">
    <mergeCell ref="C71:E71"/>
    <mergeCell ref="G1:K2"/>
    <mergeCell ref="G3:K3"/>
    <mergeCell ref="G4:K4"/>
    <mergeCell ref="E5:F5"/>
    <mergeCell ref="G5:H5"/>
    <mergeCell ref="C8:D8"/>
    <mergeCell ref="E8:G8"/>
    <mergeCell ref="H8:S8"/>
    <mergeCell ref="E6:F6"/>
    <mergeCell ref="G6:H6"/>
  </mergeCells>
  <conditionalFormatting sqref="A71">
    <cfRule type="containsText" dxfId="48" priority="1" operator="containsText" text="RG">
      <formula>NOT(ISERROR(SEARCH("RG",A71)))</formula>
    </cfRule>
  </conditionalFormatting>
  <conditionalFormatting sqref="H10:S70">
    <cfRule type="cellIs" dxfId="47" priority="2" operator="equal">
      <formula>"ABC"</formula>
    </cfRule>
    <cfRule type="cellIs" dxfId="46" priority="3" operator="equal">
      <formula>"RP"</formula>
    </cfRule>
    <cfRule type="cellIs" dxfId="45" priority="4" operator="equal">
      <formula>"RG"</formula>
    </cfRule>
  </conditionalFormatting>
  <pageMargins left="0.70866141732283472" right="0.37" top="0.48" bottom="0.38" header="0.31496062992125984" footer="0.23"/>
  <pageSetup paperSize="9" scale="54" fitToHeight="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249977111117893"/>
    <pageSetUpPr fitToPage="1"/>
  </sheetPr>
  <dimension ref="A1:AD18"/>
  <sheetViews>
    <sheetView showGridLines="0" zoomScale="90" zoomScaleNormal="90" workbookViewId="0">
      <selection activeCell="F16" sqref="F16"/>
    </sheetView>
  </sheetViews>
  <sheetFormatPr baseColWidth="10" defaultRowHeight="15"/>
  <cols>
    <col min="1" max="1" width="15.7109375" style="13" customWidth="1"/>
    <col min="2" max="2" width="10.7109375" style="13" customWidth="1"/>
    <col min="3" max="30" width="6.7109375" style="13" customWidth="1"/>
  </cols>
  <sheetData>
    <row r="1" spans="1:30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30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30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30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30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30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44</v>
      </c>
      <c r="M6" s="3"/>
      <c r="N6" s="3"/>
    </row>
    <row r="7" spans="1:30">
      <c r="A7" s="3"/>
      <c r="B7" s="3"/>
      <c r="C7" s="3"/>
      <c r="D7" s="3"/>
      <c r="E7" s="3"/>
    </row>
    <row r="8" spans="1:30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30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30">
      <c r="A10" s="133" t="s">
        <v>34</v>
      </c>
      <c r="B10" s="130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  <c r="AC10"/>
      <c r="AD10"/>
    </row>
    <row r="11" spans="1:30">
      <c r="A11" s="133"/>
      <c r="B11" s="130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  <c r="AC11"/>
      <c r="AD11"/>
    </row>
    <row r="12" spans="1:30">
      <c r="A12" s="5" t="s">
        <v>248</v>
      </c>
      <c r="B12" s="52" t="s">
        <v>278</v>
      </c>
      <c r="C12" s="12">
        <v>10</v>
      </c>
      <c r="D12" s="12"/>
      <c r="E12" s="12">
        <v>9</v>
      </c>
      <c r="F12" s="12"/>
      <c r="G12" s="12">
        <v>10</v>
      </c>
      <c r="H12" s="12"/>
      <c r="I12" s="12">
        <v>9</v>
      </c>
      <c r="J12" s="12"/>
      <c r="K12" s="12">
        <v>10</v>
      </c>
      <c r="L12" s="12"/>
      <c r="M12" s="12">
        <v>9</v>
      </c>
      <c r="N12" s="12"/>
      <c r="O12" s="12">
        <v>10</v>
      </c>
      <c r="P12" s="12"/>
      <c r="Q12" s="12">
        <v>10</v>
      </c>
      <c r="R12" s="12"/>
      <c r="S12" s="12">
        <v>9</v>
      </c>
      <c r="T12" s="12"/>
      <c r="U12" s="12">
        <v>10</v>
      </c>
      <c r="V12" s="12"/>
      <c r="W12" s="12">
        <v>9</v>
      </c>
      <c r="X12" s="12"/>
      <c r="Y12" s="12">
        <v>10</v>
      </c>
      <c r="Z12" s="12"/>
      <c r="AA12" s="12">
        <f>SUM(C12+E12+G12+I12+K12+M12+O12+Q12+S12+U12+W12+Y12)</f>
        <v>115</v>
      </c>
      <c r="AB12" s="12">
        <f>+D12+F12+H12+J12+L12+N12+P12+R12+T12+V12+X12+Z12</f>
        <v>0</v>
      </c>
      <c r="AC12"/>
      <c r="AD12"/>
    </row>
    <row r="13" spans="1:30">
      <c r="A13" s="5" t="s">
        <v>249</v>
      </c>
      <c r="B13" s="52" t="s">
        <v>279</v>
      </c>
      <c r="C13" s="12">
        <v>6</v>
      </c>
      <c r="D13" s="12"/>
      <c r="E13" s="12">
        <v>5</v>
      </c>
      <c r="F13" s="12"/>
      <c r="G13" s="12">
        <v>6</v>
      </c>
      <c r="H13" s="12"/>
      <c r="I13" s="12">
        <v>6</v>
      </c>
      <c r="J13" s="12"/>
      <c r="K13" s="12">
        <v>6</v>
      </c>
      <c r="L13" s="12"/>
      <c r="M13" s="12">
        <v>5</v>
      </c>
      <c r="N13" s="12"/>
      <c r="O13" s="12">
        <v>6</v>
      </c>
      <c r="P13" s="12"/>
      <c r="Q13" s="12">
        <v>6</v>
      </c>
      <c r="R13" s="12"/>
      <c r="S13" s="12">
        <v>6</v>
      </c>
      <c r="T13" s="12"/>
      <c r="U13" s="12">
        <v>6</v>
      </c>
      <c r="V13" s="12"/>
      <c r="W13" s="12">
        <v>6</v>
      </c>
      <c r="X13" s="12"/>
      <c r="Y13" s="12">
        <v>6</v>
      </c>
      <c r="Z13" s="12"/>
      <c r="AA13" s="12">
        <f>SUM(C13+E13+G13+I13+K13+M13+O13+Q13+S13+U13+W13+Y13)</f>
        <v>70</v>
      </c>
      <c r="AB13" s="12">
        <f>+D13+F13+H13+J13+L13+N13+P13+R13+T13+V13+X13+Z13</f>
        <v>0</v>
      </c>
      <c r="AC13"/>
      <c r="AD13"/>
    </row>
    <row r="14" spans="1:30">
      <c r="A14" s="5" t="s">
        <v>250</v>
      </c>
      <c r="B14" s="52" t="s">
        <v>280</v>
      </c>
      <c r="C14" s="12">
        <v>7</v>
      </c>
      <c r="D14" s="12"/>
      <c r="E14" s="12">
        <v>3</v>
      </c>
      <c r="F14" s="12"/>
      <c r="G14" s="12">
        <v>2</v>
      </c>
      <c r="H14" s="12"/>
      <c r="I14" s="12">
        <v>0</v>
      </c>
      <c r="J14" s="12"/>
      <c r="K14" s="12">
        <v>4</v>
      </c>
      <c r="L14" s="12"/>
      <c r="M14" s="12">
        <v>3</v>
      </c>
      <c r="N14" s="12"/>
      <c r="O14" s="12">
        <v>5</v>
      </c>
      <c r="P14" s="12"/>
      <c r="Q14" s="12">
        <v>2</v>
      </c>
      <c r="R14" s="12"/>
      <c r="S14" s="12">
        <v>1</v>
      </c>
      <c r="T14" s="12"/>
      <c r="U14" s="12">
        <v>5</v>
      </c>
      <c r="V14" s="12"/>
      <c r="W14" s="12">
        <v>8</v>
      </c>
      <c r="X14" s="12"/>
      <c r="Y14" s="12">
        <v>7</v>
      </c>
      <c r="Z14" s="12"/>
      <c r="AA14" s="12">
        <f>SUM(C14+E14+G14+I14+K14+M14+O14+Q14+S14+U14+W14+Y14)</f>
        <v>47</v>
      </c>
      <c r="AB14" s="12">
        <f>+D14+F14+H14+J14+L14+N14+P14+R14+T14+V14+X14+Z14</f>
        <v>0</v>
      </c>
      <c r="AC14"/>
      <c r="AD14"/>
    </row>
    <row r="15" spans="1:30">
      <c r="A15" s="5" t="s">
        <v>48</v>
      </c>
      <c r="B15" s="52" t="s">
        <v>281</v>
      </c>
      <c r="C15" s="12">
        <v>0</v>
      </c>
      <c r="D15" s="12"/>
      <c r="E15" s="12">
        <v>0</v>
      </c>
      <c r="F15" s="12"/>
      <c r="G15" s="12">
        <v>0</v>
      </c>
      <c r="H15" s="12"/>
      <c r="I15" s="12">
        <v>0</v>
      </c>
      <c r="J15" s="12"/>
      <c r="K15" s="12">
        <v>0</v>
      </c>
      <c r="L15" s="12"/>
      <c r="M15" s="12">
        <v>0</v>
      </c>
      <c r="N15" s="12"/>
      <c r="O15" s="12">
        <v>0</v>
      </c>
      <c r="P15" s="12"/>
      <c r="Q15" s="12">
        <v>0</v>
      </c>
      <c r="R15" s="12"/>
      <c r="S15" s="12">
        <v>0</v>
      </c>
      <c r="T15" s="12"/>
      <c r="U15" s="12">
        <v>0</v>
      </c>
      <c r="V15" s="12"/>
      <c r="W15" s="12">
        <v>0</v>
      </c>
      <c r="X15" s="12"/>
      <c r="Y15" s="12">
        <v>0</v>
      </c>
      <c r="Z15" s="12"/>
      <c r="AA15" s="12">
        <f>SUM(C15+E15+G15+I15+K15+M15+O15+Q15+S15+U15+W15+Y15)</f>
        <v>0</v>
      </c>
      <c r="AB15" s="12">
        <f>+D15+F15+H15+J15+L15+N15+P15+R15+T15+V15+X15+Z15</f>
        <v>0</v>
      </c>
      <c r="AC15"/>
      <c r="AD15"/>
    </row>
    <row r="16" spans="1:30">
      <c r="A16" s="5" t="s">
        <v>42</v>
      </c>
      <c r="B16" s="52" t="s">
        <v>282</v>
      </c>
      <c r="C16" s="12">
        <v>1</v>
      </c>
      <c r="D16" s="12"/>
      <c r="E16" s="12">
        <v>0</v>
      </c>
      <c r="F16" s="12"/>
      <c r="G16" s="12">
        <v>1</v>
      </c>
      <c r="H16" s="12"/>
      <c r="I16" s="12">
        <v>0</v>
      </c>
      <c r="J16" s="12"/>
      <c r="K16" s="12">
        <v>0</v>
      </c>
      <c r="L16" s="12"/>
      <c r="M16" s="12">
        <v>0</v>
      </c>
      <c r="N16" s="12"/>
      <c r="O16" s="12">
        <v>0</v>
      </c>
      <c r="P16" s="12"/>
      <c r="Q16" s="12">
        <v>0</v>
      </c>
      <c r="R16" s="12"/>
      <c r="S16" s="12">
        <v>0</v>
      </c>
      <c r="T16" s="12"/>
      <c r="U16" s="12">
        <v>0</v>
      </c>
      <c r="V16" s="12"/>
      <c r="W16" s="12">
        <v>0</v>
      </c>
      <c r="X16" s="12"/>
      <c r="Y16" s="12">
        <v>0</v>
      </c>
      <c r="Z16" s="12"/>
      <c r="AA16" s="12">
        <f>SUM(C16+E16+G16+I16+K16+M16+O16+Q16+S16+U16+W16+Y16)</f>
        <v>2</v>
      </c>
      <c r="AB16" s="12">
        <f>+D16+F16+H16+J16+L16+N16+P16+R16+T16+V16+X16+Z16</f>
        <v>0</v>
      </c>
      <c r="AC16"/>
      <c r="AD16"/>
    </row>
    <row r="18" spans="1:2">
      <c r="A18" s="1"/>
      <c r="B18" s="1"/>
    </row>
  </sheetData>
  <mergeCells count="20">
    <mergeCell ref="A10:A11"/>
    <mergeCell ref="B10:B11"/>
    <mergeCell ref="C10:D10"/>
    <mergeCell ref="E10:F10"/>
    <mergeCell ref="G10:H10"/>
    <mergeCell ref="G1:N2"/>
    <mergeCell ref="G3:N4"/>
    <mergeCell ref="F5:K5"/>
    <mergeCell ref="I6:K6"/>
    <mergeCell ref="C8:Z9"/>
    <mergeCell ref="U10:V10"/>
    <mergeCell ref="W10:X10"/>
    <mergeCell ref="Y10:Z10"/>
    <mergeCell ref="AA10:AB10"/>
    <mergeCell ref="I10:J10"/>
    <mergeCell ref="K10:L10"/>
    <mergeCell ref="M10:N10"/>
    <mergeCell ref="O10:P10"/>
    <mergeCell ref="Q10:R10"/>
    <mergeCell ref="S10:T10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  <pageSetUpPr fitToPage="1"/>
  </sheetPr>
  <dimension ref="A1:T26"/>
  <sheetViews>
    <sheetView showGridLines="0" zoomScale="90" zoomScaleNormal="90" workbookViewId="0">
      <selection activeCell="J14" sqref="J14"/>
    </sheetView>
  </sheetViews>
  <sheetFormatPr baseColWidth="10" defaultColWidth="11.42578125" defaultRowHeight="15"/>
  <cols>
    <col min="1" max="1" width="11.7109375" style="13" customWidth="1"/>
    <col min="2" max="11" width="10.7109375" style="13" customWidth="1"/>
    <col min="12" max="12" width="12.28515625" style="13" customWidth="1"/>
    <col min="13" max="19" width="10.7109375" style="13" customWidth="1"/>
    <col min="20" max="16384" width="11.42578125" style="13"/>
  </cols>
  <sheetData>
    <row r="1" spans="1:19" ht="15" customHeight="1">
      <c r="F1" s="16"/>
      <c r="G1" s="129" t="s">
        <v>243</v>
      </c>
      <c r="H1" s="129"/>
      <c r="I1" s="129"/>
      <c r="J1" s="129"/>
      <c r="K1" s="129"/>
      <c r="L1" s="3"/>
      <c r="M1" s="3"/>
      <c r="N1" s="3"/>
    </row>
    <row r="2" spans="1:19" ht="15" customHeight="1">
      <c r="F2" s="23"/>
      <c r="G2" s="129"/>
      <c r="H2" s="129"/>
      <c r="I2" s="129"/>
      <c r="J2" s="129"/>
      <c r="K2" s="129"/>
      <c r="L2" s="3"/>
      <c r="M2" s="3"/>
      <c r="N2" s="3"/>
    </row>
    <row r="3" spans="1:19" ht="15" customHeight="1">
      <c r="F3" s="16"/>
      <c r="G3" s="129" t="str">
        <f>'LGR CCEE'!G3:K3</f>
        <v>Plan de Mantenimiento Preventivo Año: 2026</v>
      </c>
      <c r="H3" s="129"/>
      <c r="I3" s="129"/>
      <c r="J3" s="129"/>
      <c r="K3" s="129"/>
      <c r="L3" s="3"/>
      <c r="M3" s="3"/>
      <c r="N3" s="3"/>
    </row>
    <row r="4" spans="1:19" ht="15" customHeight="1">
      <c r="F4" s="16"/>
      <c r="G4" s="129" t="s">
        <v>450</v>
      </c>
      <c r="H4" s="129"/>
      <c r="I4" s="129"/>
      <c r="J4" s="129"/>
      <c r="K4" s="129"/>
      <c r="L4" s="3"/>
      <c r="M4" s="3"/>
      <c r="N4" s="3"/>
    </row>
    <row r="5" spans="1:19">
      <c r="E5" s="128" t="s">
        <v>16</v>
      </c>
      <c r="F5" s="128"/>
      <c r="G5" s="128" t="s">
        <v>18</v>
      </c>
      <c r="H5" s="128"/>
      <c r="I5" s="51"/>
    </row>
    <row r="6" spans="1:19">
      <c r="E6" s="128" t="s">
        <v>17</v>
      </c>
      <c r="F6" s="128"/>
      <c r="G6" s="129" t="s">
        <v>276</v>
      </c>
      <c r="H6" s="129"/>
      <c r="L6" s="84"/>
    </row>
    <row r="8" spans="1:19" customFormat="1">
      <c r="A8" s="77" t="str">
        <f>'LGR CCRR'!A8</f>
        <v>Km. al: 30/09/2025</v>
      </c>
      <c r="B8" s="47"/>
      <c r="C8" s="130" t="s">
        <v>40</v>
      </c>
      <c r="D8" s="130"/>
      <c r="E8" s="131" t="s">
        <v>41</v>
      </c>
      <c r="F8" s="131"/>
      <c r="G8" s="131"/>
      <c r="H8" s="132" t="str">
        <f>'LGR CCRR'!H8:S8</f>
        <v>AÑO 2026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spans="1:19">
      <c r="A9" s="33" t="s">
        <v>38</v>
      </c>
      <c r="B9" s="34" t="s">
        <v>36</v>
      </c>
      <c r="C9" s="34" t="s">
        <v>1</v>
      </c>
      <c r="D9" s="34" t="s">
        <v>2</v>
      </c>
      <c r="E9" s="34" t="s">
        <v>1</v>
      </c>
      <c r="F9" s="34" t="s">
        <v>3</v>
      </c>
      <c r="G9" s="34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</row>
    <row r="10" spans="1:19">
      <c r="A10" s="15" t="s">
        <v>51</v>
      </c>
      <c r="B10" s="22" t="s">
        <v>52</v>
      </c>
      <c r="C10" s="25">
        <v>673487</v>
      </c>
      <c r="D10" s="11">
        <v>41653</v>
      </c>
      <c r="E10" s="10">
        <v>10301</v>
      </c>
      <c r="F10" s="10" t="s">
        <v>333</v>
      </c>
      <c r="G10" s="11">
        <v>45897</v>
      </c>
      <c r="H10" s="50"/>
      <c r="I10" s="50"/>
      <c r="J10" s="50"/>
      <c r="K10" s="50" t="s">
        <v>326</v>
      </c>
      <c r="L10" s="50"/>
      <c r="M10" s="50"/>
      <c r="N10" s="50"/>
      <c r="O10" s="50"/>
      <c r="P10" s="50"/>
      <c r="Q10" s="50"/>
      <c r="R10" s="50"/>
      <c r="S10" s="50"/>
    </row>
    <row r="11" spans="1:19">
      <c r="A11" s="15" t="s">
        <v>51</v>
      </c>
      <c r="B11" s="22" t="s">
        <v>53</v>
      </c>
      <c r="C11" s="25">
        <v>697777</v>
      </c>
      <c r="D11" s="11">
        <v>41723</v>
      </c>
      <c r="E11" s="10">
        <v>4662</v>
      </c>
      <c r="F11" s="10" t="s">
        <v>333</v>
      </c>
      <c r="G11" s="11">
        <v>45919</v>
      </c>
      <c r="H11" s="50"/>
      <c r="I11" s="50"/>
      <c r="J11" s="50"/>
      <c r="K11" s="50"/>
      <c r="L11" s="50"/>
      <c r="M11" s="50"/>
      <c r="N11" s="50"/>
      <c r="O11" s="50" t="s">
        <v>329</v>
      </c>
      <c r="P11" s="50"/>
      <c r="Q11" s="50"/>
      <c r="R11" s="50"/>
      <c r="S11" s="50"/>
    </row>
    <row r="12" spans="1:19">
      <c r="A12" s="15" t="s">
        <v>51</v>
      </c>
      <c r="B12" s="22" t="s">
        <v>156</v>
      </c>
      <c r="C12" s="25">
        <v>540109</v>
      </c>
      <c r="D12" s="11">
        <v>41653</v>
      </c>
      <c r="E12" s="10">
        <v>2283</v>
      </c>
      <c r="F12" s="10" t="s">
        <v>329</v>
      </c>
      <c r="G12" s="11">
        <v>45912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</row>
    <row r="13" spans="1:19">
      <c r="A13" s="15" t="s">
        <v>51</v>
      </c>
      <c r="B13" s="22" t="s">
        <v>505</v>
      </c>
      <c r="C13" s="25">
        <v>378295</v>
      </c>
      <c r="D13" s="11">
        <v>40909</v>
      </c>
      <c r="E13" s="10" t="s">
        <v>323</v>
      </c>
      <c r="F13" s="10" t="s">
        <v>323</v>
      </c>
      <c r="G13" s="11" t="s">
        <v>323</v>
      </c>
      <c r="H13" s="50"/>
      <c r="I13" s="50"/>
      <c r="J13" s="50"/>
      <c r="K13" s="50"/>
      <c r="L13" s="50" t="s">
        <v>329</v>
      </c>
      <c r="M13" s="50"/>
      <c r="N13" s="50"/>
      <c r="O13" s="50"/>
      <c r="P13" s="50"/>
      <c r="Q13" s="50"/>
      <c r="R13" s="50"/>
      <c r="S13" s="50"/>
    </row>
    <row r="14" spans="1:19">
      <c r="A14" s="15" t="s">
        <v>51</v>
      </c>
      <c r="B14" s="22" t="s">
        <v>157</v>
      </c>
      <c r="C14" s="25">
        <v>834351</v>
      </c>
      <c r="D14" s="11">
        <v>41857</v>
      </c>
      <c r="E14" s="10">
        <v>5738</v>
      </c>
      <c r="F14" s="10" t="s">
        <v>333</v>
      </c>
      <c r="G14" s="11">
        <v>45890</v>
      </c>
      <c r="H14" s="50"/>
      <c r="I14" s="50"/>
      <c r="J14" s="50"/>
      <c r="K14" s="50"/>
      <c r="L14" s="50"/>
      <c r="M14" s="50"/>
      <c r="N14" s="50" t="s">
        <v>329</v>
      </c>
      <c r="O14" s="50"/>
      <c r="P14" s="50"/>
      <c r="Q14" s="50"/>
      <c r="R14" s="50"/>
      <c r="S14" s="50"/>
    </row>
    <row r="15" spans="1:19">
      <c r="A15" s="15" t="s">
        <v>51</v>
      </c>
      <c r="B15" s="22" t="s">
        <v>158</v>
      </c>
      <c r="C15" s="25">
        <v>781802</v>
      </c>
      <c r="D15" s="11">
        <v>41859</v>
      </c>
      <c r="E15" s="10">
        <v>3660</v>
      </c>
      <c r="F15" s="10" t="s">
        <v>332</v>
      </c>
      <c r="G15" s="11">
        <v>45919</v>
      </c>
      <c r="H15" s="50"/>
      <c r="I15" s="50" t="s">
        <v>329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</row>
    <row r="16" spans="1:19">
      <c r="A16" s="15" t="s">
        <v>51</v>
      </c>
      <c r="B16" s="22" t="s">
        <v>159</v>
      </c>
      <c r="C16" s="25">
        <v>718609</v>
      </c>
      <c r="D16" s="11">
        <v>41859</v>
      </c>
      <c r="E16" s="10">
        <v>3572</v>
      </c>
      <c r="F16" s="10" t="s">
        <v>333</v>
      </c>
      <c r="G16" s="11">
        <v>45813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 t="s">
        <v>329</v>
      </c>
      <c r="S16" s="50"/>
    </row>
    <row r="18" spans="1:20" hidden="1">
      <c r="F18" s="13">
        <v>8</v>
      </c>
      <c r="G18" s="2" t="s">
        <v>333</v>
      </c>
      <c r="H18" s="13">
        <f>COUNTIF(H10:H16,"EX")</f>
        <v>0</v>
      </c>
      <c r="I18" s="13">
        <f t="shared" ref="I18:S18" si="0">COUNTIF(I10:I16,"EX")</f>
        <v>0</v>
      </c>
      <c r="J18" s="13">
        <f t="shared" si="0"/>
        <v>0</v>
      </c>
      <c r="K18" s="13">
        <f t="shared" si="0"/>
        <v>0</v>
      </c>
      <c r="L18" s="13">
        <f t="shared" si="0"/>
        <v>0</v>
      </c>
      <c r="M18" s="13">
        <f t="shared" si="0"/>
        <v>0</v>
      </c>
      <c r="N18" s="13">
        <f t="shared" si="0"/>
        <v>0</v>
      </c>
      <c r="O18" s="13">
        <f t="shared" si="0"/>
        <v>0</v>
      </c>
      <c r="P18" s="13">
        <f t="shared" si="0"/>
        <v>0</v>
      </c>
      <c r="Q18" s="13">
        <f t="shared" si="0"/>
        <v>0</v>
      </c>
      <c r="R18" s="13">
        <f t="shared" si="0"/>
        <v>0</v>
      </c>
      <c r="S18" s="13">
        <f t="shared" si="0"/>
        <v>0</v>
      </c>
      <c r="T18" s="2">
        <f t="shared" ref="T18:T25" si="1">SUM(H18:S18)</f>
        <v>0</v>
      </c>
    </row>
    <row r="19" spans="1:20" hidden="1">
      <c r="F19" s="13">
        <v>7</v>
      </c>
      <c r="G19" s="2" t="s">
        <v>330</v>
      </c>
      <c r="H19" s="13">
        <f t="shared" ref="H19:S19" si="2">COUNTIF(H10:H16,"R1")</f>
        <v>0</v>
      </c>
      <c r="I19" s="13">
        <f t="shared" si="2"/>
        <v>0</v>
      </c>
      <c r="J19" s="13">
        <f t="shared" si="2"/>
        <v>0</v>
      </c>
      <c r="K19" s="13">
        <f t="shared" si="2"/>
        <v>0</v>
      </c>
      <c r="L19" s="13">
        <f t="shared" si="2"/>
        <v>0</v>
      </c>
      <c r="M19" s="13">
        <f t="shared" si="2"/>
        <v>0</v>
      </c>
      <c r="N19" s="13">
        <f t="shared" si="2"/>
        <v>0</v>
      </c>
      <c r="O19" s="13">
        <f t="shared" si="2"/>
        <v>0</v>
      </c>
      <c r="P19" s="13">
        <f t="shared" si="2"/>
        <v>0</v>
      </c>
      <c r="Q19" s="13">
        <f t="shared" si="2"/>
        <v>0</v>
      </c>
      <c r="R19" s="13">
        <f t="shared" si="2"/>
        <v>0</v>
      </c>
      <c r="S19" s="13">
        <f t="shared" si="2"/>
        <v>0</v>
      </c>
      <c r="T19" s="2">
        <f t="shared" si="1"/>
        <v>0</v>
      </c>
    </row>
    <row r="20" spans="1:20" hidden="1">
      <c r="A20" s="8"/>
      <c r="B20" s="8"/>
      <c r="F20" s="13">
        <v>6</v>
      </c>
      <c r="G20" s="2" t="s">
        <v>331</v>
      </c>
      <c r="H20" s="13">
        <f t="shared" ref="H20:S20" si="3">COUNTIF(H10:H16,"R2")</f>
        <v>0</v>
      </c>
      <c r="I20" s="13">
        <f t="shared" si="3"/>
        <v>0</v>
      </c>
      <c r="J20" s="13">
        <f t="shared" si="3"/>
        <v>0</v>
      </c>
      <c r="K20" s="13">
        <f t="shared" si="3"/>
        <v>0</v>
      </c>
      <c r="L20" s="13">
        <f t="shared" si="3"/>
        <v>0</v>
      </c>
      <c r="M20" s="13">
        <f t="shared" si="3"/>
        <v>0</v>
      </c>
      <c r="N20" s="13">
        <f t="shared" si="3"/>
        <v>0</v>
      </c>
      <c r="O20" s="13">
        <f t="shared" si="3"/>
        <v>0</v>
      </c>
      <c r="P20" s="13">
        <f t="shared" si="3"/>
        <v>0</v>
      </c>
      <c r="Q20" s="13">
        <f t="shared" si="3"/>
        <v>0</v>
      </c>
      <c r="R20" s="13">
        <f t="shared" si="3"/>
        <v>0</v>
      </c>
      <c r="S20" s="13">
        <f t="shared" si="3"/>
        <v>0</v>
      </c>
      <c r="T20" s="2">
        <f t="shared" si="1"/>
        <v>0</v>
      </c>
    </row>
    <row r="21" spans="1:20" hidden="1">
      <c r="A21" s="8"/>
      <c r="B21" s="8"/>
      <c r="F21" s="13">
        <v>5</v>
      </c>
      <c r="G21" s="2" t="s">
        <v>332</v>
      </c>
      <c r="H21" s="13">
        <f t="shared" ref="H21:S21" si="4">COUNTIF(H10:H16,"R3")</f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2">
        <f t="shared" si="1"/>
        <v>0</v>
      </c>
    </row>
    <row r="22" spans="1:20" hidden="1">
      <c r="A22" s="7"/>
      <c r="B22" s="7"/>
      <c r="C22" s="3"/>
      <c r="D22" s="3"/>
      <c r="F22" s="13">
        <v>4</v>
      </c>
      <c r="G22" s="2" t="s">
        <v>327</v>
      </c>
      <c r="H22" s="13">
        <f t="shared" ref="H22:S22" si="5">COUNTIF(H10:H16,"R4")</f>
        <v>0</v>
      </c>
      <c r="I22" s="13">
        <f t="shared" si="5"/>
        <v>0</v>
      </c>
      <c r="J22" s="13">
        <f t="shared" si="5"/>
        <v>0</v>
      </c>
      <c r="K22" s="13">
        <f t="shared" si="5"/>
        <v>0</v>
      </c>
      <c r="L22" s="13">
        <f t="shared" si="5"/>
        <v>0</v>
      </c>
      <c r="M22" s="13">
        <f t="shared" si="5"/>
        <v>0</v>
      </c>
      <c r="N22" s="13">
        <f t="shared" si="5"/>
        <v>0</v>
      </c>
      <c r="O22" s="13">
        <f t="shared" si="5"/>
        <v>0</v>
      </c>
      <c r="P22" s="13">
        <f t="shared" si="5"/>
        <v>0</v>
      </c>
      <c r="Q22" s="13">
        <f t="shared" si="5"/>
        <v>0</v>
      </c>
      <c r="R22" s="13">
        <f t="shared" si="5"/>
        <v>0</v>
      </c>
      <c r="S22" s="13">
        <f t="shared" si="5"/>
        <v>0</v>
      </c>
      <c r="T22" s="2">
        <f t="shared" si="1"/>
        <v>0</v>
      </c>
    </row>
    <row r="23" spans="1:20" hidden="1">
      <c r="A23" s="8"/>
      <c r="B23" s="8"/>
      <c r="F23" s="13">
        <v>3</v>
      </c>
      <c r="G23" s="2" t="s">
        <v>328</v>
      </c>
      <c r="H23" s="13">
        <f t="shared" ref="H23:S23" si="6">COUNTIF(H10:H16,"R5")</f>
        <v>0</v>
      </c>
      <c r="I23" s="13">
        <f t="shared" si="6"/>
        <v>0</v>
      </c>
      <c r="J23" s="13">
        <f t="shared" si="6"/>
        <v>0</v>
      </c>
      <c r="K23" s="13">
        <f t="shared" si="6"/>
        <v>0</v>
      </c>
      <c r="L23" s="13">
        <f t="shared" si="6"/>
        <v>0</v>
      </c>
      <c r="M23" s="13">
        <f t="shared" si="6"/>
        <v>0</v>
      </c>
      <c r="N23" s="13">
        <f t="shared" si="6"/>
        <v>0</v>
      </c>
      <c r="O23" s="13">
        <f t="shared" si="6"/>
        <v>0</v>
      </c>
      <c r="P23" s="13">
        <f t="shared" si="6"/>
        <v>0</v>
      </c>
      <c r="Q23" s="13">
        <f t="shared" si="6"/>
        <v>0</v>
      </c>
      <c r="R23" s="13">
        <f t="shared" si="6"/>
        <v>0</v>
      </c>
      <c r="S23" s="13">
        <f t="shared" si="6"/>
        <v>0</v>
      </c>
      <c r="T23" s="2">
        <f t="shared" si="1"/>
        <v>0</v>
      </c>
    </row>
    <row r="24" spans="1:20" hidden="1">
      <c r="A24" s="7"/>
      <c r="B24" s="7"/>
      <c r="F24" s="13">
        <v>2</v>
      </c>
      <c r="G24" s="2" t="s">
        <v>326</v>
      </c>
      <c r="H24" s="13">
        <f t="shared" ref="H24:S24" si="7">COUNTIF(H10:H16,"R6")</f>
        <v>0</v>
      </c>
      <c r="I24" s="13">
        <f t="shared" si="7"/>
        <v>0</v>
      </c>
      <c r="J24" s="13">
        <f t="shared" si="7"/>
        <v>0</v>
      </c>
      <c r="K24" s="13">
        <f t="shared" si="7"/>
        <v>1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2">
        <f t="shared" si="1"/>
        <v>1</v>
      </c>
    </row>
    <row r="25" spans="1:20">
      <c r="A25" s="1"/>
      <c r="B25" s="1"/>
      <c r="G25" s="2" t="s">
        <v>329</v>
      </c>
      <c r="H25" s="13">
        <f>COUNTIF(H10:H16,"N")</f>
        <v>0</v>
      </c>
      <c r="I25" s="13">
        <f t="shared" ref="I25:S25" si="8">COUNTIF(I10:I16,"N")</f>
        <v>1</v>
      </c>
      <c r="J25" s="13">
        <f t="shared" si="8"/>
        <v>0</v>
      </c>
      <c r="K25" s="13">
        <f t="shared" si="8"/>
        <v>0</v>
      </c>
      <c r="L25" s="13">
        <f t="shared" si="8"/>
        <v>1</v>
      </c>
      <c r="M25" s="13">
        <f t="shared" si="8"/>
        <v>0</v>
      </c>
      <c r="N25" s="13">
        <f t="shared" si="8"/>
        <v>1</v>
      </c>
      <c r="O25" s="13">
        <f t="shared" si="8"/>
        <v>1</v>
      </c>
      <c r="P25" s="13">
        <f t="shared" si="8"/>
        <v>0</v>
      </c>
      <c r="Q25" s="13">
        <f t="shared" si="8"/>
        <v>0</v>
      </c>
      <c r="R25" s="13">
        <f t="shared" si="8"/>
        <v>1</v>
      </c>
      <c r="S25" s="13">
        <f t="shared" si="8"/>
        <v>0</v>
      </c>
      <c r="T25" s="2">
        <f t="shared" si="1"/>
        <v>5</v>
      </c>
    </row>
    <row r="26" spans="1:20">
      <c r="A26" s="81" t="s">
        <v>335</v>
      </c>
      <c r="B26" s="6" t="s">
        <v>336</v>
      </c>
    </row>
  </sheetData>
  <mergeCells count="10">
    <mergeCell ref="C8:D8"/>
    <mergeCell ref="E8:G8"/>
    <mergeCell ref="H8:S8"/>
    <mergeCell ref="G1:K2"/>
    <mergeCell ref="G3:K3"/>
    <mergeCell ref="G4:K4"/>
    <mergeCell ref="E5:F5"/>
    <mergeCell ref="G5:H5"/>
    <mergeCell ref="E6:F6"/>
    <mergeCell ref="G6:H6"/>
  </mergeCells>
  <conditionalFormatting sqref="D15:F16">
    <cfRule type="cellIs" dxfId="44" priority="11" stopIfTrue="1" operator="lessThan">
      <formula>0</formula>
    </cfRule>
  </conditionalFormatting>
  <conditionalFormatting sqref="D10:G14">
    <cfRule type="cellIs" dxfId="43" priority="6" stopIfTrue="1" operator="lessThan">
      <formula>0</formula>
    </cfRule>
  </conditionalFormatting>
  <conditionalFormatting sqref="G10:G16">
    <cfRule type="cellIs" dxfId="42" priority="12" operator="equal">
      <formula>"IS"</formula>
    </cfRule>
    <cfRule type="cellIs" dxfId="41" priority="13" operator="equal">
      <formula>"rg"</formula>
    </cfRule>
  </conditionalFormatting>
  <conditionalFormatting sqref="G15:G16">
    <cfRule type="cellIs" dxfId="40" priority="14" stopIfTrue="1" operator="lessThan">
      <formula>0</formula>
    </cfRule>
  </conditionalFormatting>
  <conditionalFormatting sqref="H10:S16">
    <cfRule type="cellIs" dxfId="39" priority="36" operator="equal">
      <formula>"N"</formula>
    </cfRule>
    <cfRule type="cellIs" dxfId="38" priority="37" operator="equal">
      <formula>"360K"</formula>
    </cfRule>
    <cfRule type="cellIs" dxfId="37" priority="38" operator="equal">
      <formula>"R6"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249977111117893"/>
    <pageSetUpPr fitToPage="1"/>
  </sheetPr>
  <dimension ref="A1:AC29"/>
  <sheetViews>
    <sheetView showGridLines="0" zoomScale="90" zoomScaleNormal="90" workbookViewId="0"/>
  </sheetViews>
  <sheetFormatPr baseColWidth="10" defaultRowHeight="15"/>
  <cols>
    <col min="1" max="1" width="19.85546875" style="13" bestFit="1" customWidth="1"/>
    <col min="2" max="2" width="17" style="13" customWidth="1"/>
    <col min="3" max="29" width="6.7109375" style="13" customWidth="1"/>
  </cols>
  <sheetData>
    <row r="1" spans="1:29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29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29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29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29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29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276</v>
      </c>
      <c r="M6" s="3"/>
      <c r="N6" s="3"/>
    </row>
    <row r="7" spans="1:29">
      <c r="A7" s="3"/>
      <c r="B7" s="3"/>
      <c r="C7" s="3"/>
      <c r="D7" s="3"/>
      <c r="E7" s="3"/>
    </row>
    <row r="8" spans="1:29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9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29">
      <c r="A10" s="133" t="s">
        <v>34</v>
      </c>
      <c r="B10" s="133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  <c r="AC10"/>
    </row>
    <row r="11" spans="1:29">
      <c r="A11" s="133"/>
      <c r="B11" s="133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  <c r="AC11"/>
    </row>
    <row r="12" spans="1:29">
      <c r="A12" s="5" t="s">
        <v>251</v>
      </c>
      <c r="B12" s="20" t="s">
        <v>292</v>
      </c>
      <c r="C12" s="12">
        <v>3</v>
      </c>
      <c r="D12" s="12"/>
      <c r="E12" s="12">
        <v>4</v>
      </c>
      <c r="F12" s="12"/>
      <c r="G12" s="12">
        <v>4</v>
      </c>
      <c r="H12" s="12"/>
      <c r="I12" s="12">
        <v>4</v>
      </c>
      <c r="J12" s="12"/>
      <c r="K12" s="12">
        <v>4</v>
      </c>
      <c r="L12" s="12"/>
      <c r="M12" s="12">
        <v>5</v>
      </c>
      <c r="N12" s="12"/>
      <c r="O12" s="12">
        <v>4</v>
      </c>
      <c r="P12" s="12"/>
      <c r="Q12" s="12">
        <v>3</v>
      </c>
      <c r="R12" s="12"/>
      <c r="S12" s="12">
        <v>6</v>
      </c>
      <c r="T12" s="12"/>
      <c r="U12" s="12">
        <v>4</v>
      </c>
      <c r="V12" s="12"/>
      <c r="W12" s="12">
        <v>4</v>
      </c>
      <c r="X12" s="12"/>
      <c r="Y12" s="12">
        <v>6</v>
      </c>
      <c r="Z12" s="12"/>
      <c r="AA12" s="12">
        <f t="shared" ref="AA12:AA20" si="0">SUM(C12+E12+G12+I12+K12+M12+O12+Q12+S12+U12+W12+Y12)</f>
        <v>51</v>
      </c>
      <c r="AB12" s="12">
        <f>+D12+F12+H12+J12+L12+N12+P12+R12+T12+V12+X12+Z12</f>
        <v>0</v>
      </c>
      <c r="AC12"/>
    </row>
    <row r="13" spans="1:29">
      <c r="A13" s="5" t="s">
        <v>252</v>
      </c>
      <c r="B13" s="20" t="s">
        <v>293</v>
      </c>
      <c r="C13" s="12">
        <v>1</v>
      </c>
      <c r="D13" s="12"/>
      <c r="E13" s="12">
        <v>1</v>
      </c>
      <c r="F13" s="12"/>
      <c r="G13" s="12">
        <v>0</v>
      </c>
      <c r="H13" s="12"/>
      <c r="I13" s="12">
        <v>1</v>
      </c>
      <c r="J13" s="12"/>
      <c r="K13" s="12">
        <v>1</v>
      </c>
      <c r="L13" s="12"/>
      <c r="M13" s="12">
        <v>0</v>
      </c>
      <c r="N13" s="12"/>
      <c r="O13" s="12">
        <v>1</v>
      </c>
      <c r="P13" s="12"/>
      <c r="Q13" s="12">
        <v>1</v>
      </c>
      <c r="R13" s="12"/>
      <c r="S13" s="12">
        <v>0</v>
      </c>
      <c r="T13" s="12"/>
      <c r="U13" s="12">
        <v>0</v>
      </c>
      <c r="V13" s="12"/>
      <c r="W13" s="12">
        <v>1</v>
      </c>
      <c r="X13" s="12"/>
      <c r="Y13" s="12">
        <v>0</v>
      </c>
      <c r="Z13" s="12"/>
      <c r="AA13" s="12">
        <f t="shared" si="0"/>
        <v>7</v>
      </c>
      <c r="AB13" s="12">
        <f t="shared" ref="AB13:AB20" si="1">+D13+F13+H13+J13+L13+N13+P13+R13+T13+V13+X13+Z13</f>
        <v>0</v>
      </c>
      <c r="AC13"/>
    </row>
    <row r="14" spans="1:29">
      <c r="A14" s="5" t="s">
        <v>253</v>
      </c>
      <c r="B14" s="20" t="s">
        <v>294</v>
      </c>
      <c r="C14" s="12">
        <v>0</v>
      </c>
      <c r="D14" s="12"/>
      <c r="E14" s="12">
        <v>1</v>
      </c>
      <c r="F14" s="12"/>
      <c r="G14" s="12">
        <v>1</v>
      </c>
      <c r="H14" s="12"/>
      <c r="I14" s="12">
        <v>0</v>
      </c>
      <c r="J14" s="12"/>
      <c r="K14" s="12">
        <v>1</v>
      </c>
      <c r="L14" s="12"/>
      <c r="M14" s="12">
        <v>1</v>
      </c>
      <c r="N14" s="12"/>
      <c r="O14" s="12">
        <v>1</v>
      </c>
      <c r="P14" s="12"/>
      <c r="Q14" s="12">
        <v>1</v>
      </c>
      <c r="R14" s="12"/>
      <c r="S14" s="12">
        <v>0</v>
      </c>
      <c r="T14" s="12"/>
      <c r="U14" s="12">
        <v>1</v>
      </c>
      <c r="V14" s="12"/>
      <c r="W14" s="12">
        <v>1</v>
      </c>
      <c r="X14" s="12"/>
      <c r="Y14" s="12">
        <v>0</v>
      </c>
      <c r="Z14" s="12"/>
      <c r="AA14" s="12">
        <f t="shared" si="0"/>
        <v>8</v>
      </c>
      <c r="AB14" s="12">
        <f t="shared" si="1"/>
        <v>0</v>
      </c>
      <c r="AC14"/>
    </row>
    <row r="15" spans="1:29">
      <c r="A15" s="5" t="s">
        <v>254</v>
      </c>
      <c r="B15" s="20" t="s">
        <v>295</v>
      </c>
      <c r="C15" s="12">
        <v>1</v>
      </c>
      <c r="D15" s="12"/>
      <c r="E15" s="12">
        <v>0</v>
      </c>
      <c r="F15" s="12"/>
      <c r="G15" s="12">
        <v>0</v>
      </c>
      <c r="H15" s="12"/>
      <c r="I15" s="12">
        <v>0</v>
      </c>
      <c r="J15" s="12"/>
      <c r="K15" s="12">
        <v>1</v>
      </c>
      <c r="L15" s="12"/>
      <c r="M15" s="12">
        <v>1</v>
      </c>
      <c r="N15" s="12"/>
      <c r="O15" s="12">
        <v>0</v>
      </c>
      <c r="P15" s="12"/>
      <c r="Q15" s="12">
        <v>1</v>
      </c>
      <c r="R15" s="12"/>
      <c r="S15" s="12">
        <v>0</v>
      </c>
      <c r="T15" s="12"/>
      <c r="U15" s="12">
        <v>2</v>
      </c>
      <c r="V15" s="12"/>
      <c r="W15" s="12">
        <v>0</v>
      </c>
      <c r="X15" s="12"/>
      <c r="Y15" s="12">
        <v>0</v>
      </c>
      <c r="Z15" s="12"/>
      <c r="AA15" s="12">
        <f t="shared" si="0"/>
        <v>6</v>
      </c>
      <c r="AB15" s="12">
        <f t="shared" si="1"/>
        <v>0</v>
      </c>
      <c r="AC15"/>
    </row>
    <row r="16" spans="1:29">
      <c r="A16" s="5" t="s">
        <v>255</v>
      </c>
      <c r="B16" s="20" t="s">
        <v>296</v>
      </c>
      <c r="C16" s="12">
        <v>0</v>
      </c>
      <c r="D16" s="12"/>
      <c r="E16" s="12">
        <v>0</v>
      </c>
      <c r="F16" s="12"/>
      <c r="G16" s="12">
        <v>0</v>
      </c>
      <c r="H16" s="12"/>
      <c r="I16" s="12">
        <v>0</v>
      </c>
      <c r="J16" s="12"/>
      <c r="K16" s="12">
        <v>0</v>
      </c>
      <c r="L16" s="12"/>
      <c r="M16" s="12">
        <v>0</v>
      </c>
      <c r="N16" s="12"/>
      <c r="O16" s="12">
        <v>0</v>
      </c>
      <c r="P16" s="12"/>
      <c r="Q16" s="12">
        <v>0</v>
      </c>
      <c r="R16" s="12"/>
      <c r="S16" s="12">
        <v>1</v>
      </c>
      <c r="T16" s="12"/>
      <c r="U16" s="12">
        <v>0</v>
      </c>
      <c r="V16" s="12"/>
      <c r="W16" s="12">
        <v>0</v>
      </c>
      <c r="X16" s="12"/>
      <c r="Y16" s="12">
        <v>0</v>
      </c>
      <c r="Z16" s="12"/>
      <c r="AA16" s="12">
        <f t="shared" si="0"/>
        <v>1</v>
      </c>
      <c r="AB16" s="12">
        <f t="shared" si="1"/>
        <v>0</v>
      </c>
      <c r="AC16"/>
    </row>
    <row r="17" spans="1:29">
      <c r="A17" s="5" t="s">
        <v>256</v>
      </c>
      <c r="B17" s="20" t="s">
        <v>285</v>
      </c>
      <c r="C17" s="12">
        <v>0</v>
      </c>
      <c r="D17" s="12"/>
      <c r="E17" s="12">
        <v>0</v>
      </c>
      <c r="F17" s="12"/>
      <c r="G17" s="12">
        <v>0</v>
      </c>
      <c r="H17" s="12"/>
      <c r="I17" s="12">
        <v>0</v>
      </c>
      <c r="J17" s="12"/>
      <c r="K17" s="12">
        <v>0</v>
      </c>
      <c r="L17" s="12"/>
      <c r="M17" s="12">
        <v>0</v>
      </c>
      <c r="N17" s="12"/>
      <c r="O17" s="12">
        <v>0</v>
      </c>
      <c r="P17" s="12"/>
      <c r="Q17" s="12">
        <v>0</v>
      </c>
      <c r="R17" s="12"/>
      <c r="S17" s="12">
        <v>0</v>
      </c>
      <c r="T17" s="12"/>
      <c r="U17" s="12">
        <v>0</v>
      </c>
      <c r="V17" s="12"/>
      <c r="W17" s="12">
        <v>0</v>
      </c>
      <c r="X17" s="12"/>
      <c r="Y17" s="12">
        <v>1</v>
      </c>
      <c r="Z17" s="12"/>
      <c r="AA17" s="12">
        <f t="shared" si="0"/>
        <v>1</v>
      </c>
      <c r="AB17" s="12">
        <f t="shared" si="1"/>
        <v>0</v>
      </c>
      <c r="AC17"/>
    </row>
    <row r="18" spans="1:29">
      <c r="A18" s="5" t="s">
        <v>257</v>
      </c>
      <c r="B18" s="20" t="s">
        <v>280</v>
      </c>
      <c r="C18" s="12">
        <v>0</v>
      </c>
      <c r="D18" s="12"/>
      <c r="E18" s="12">
        <v>0</v>
      </c>
      <c r="F18" s="12"/>
      <c r="G18" s="12">
        <v>0</v>
      </c>
      <c r="H18" s="12"/>
      <c r="I18" s="12">
        <v>1</v>
      </c>
      <c r="J18" s="12"/>
      <c r="K18" s="12">
        <v>0</v>
      </c>
      <c r="L18" s="12"/>
      <c r="M18" s="12">
        <v>0</v>
      </c>
      <c r="N18" s="12"/>
      <c r="O18" s="12">
        <v>0</v>
      </c>
      <c r="P18" s="12"/>
      <c r="Q18" s="12">
        <v>0</v>
      </c>
      <c r="R18" s="12"/>
      <c r="S18" s="12">
        <v>0</v>
      </c>
      <c r="T18" s="12"/>
      <c r="U18" s="12">
        <v>0</v>
      </c>
      <c r="V18" s="12"/>
      <c r="W18" s="12">
        <v>0</v>
      </c>
      <c r="X18" s="12"/>
      <c r="Y18" s="12">
        <v>0</v>
      </c>
      <c r="Z18" s="12"/>
      <c r="AA18" s="12">
        <f t="shared" si="0"/>
        <v>1</v>
      </c>
      <c r="AB18" s="12">
        <f t="shared" si="1"/>
        <v>0</v>
      </c>
      <c r="AC18"/>
    </row>
    <row r="19" spans="1:29">
      <c r="A19" s="5" t="s">
        <v>386</v>
      </c>
      <c r="B19" s="20" t="s">
        <v>297</v>
      </c>
      <c r="C19" s="12">
        <v>0</v>
      </c>
      <c r="D19" s="12"/>
      <c r="E19" s="12">
        <v>1</v>
      </c>
      <c r="F19" s="12"/>
      <c r="G19" s="12">
        <v>0</v>
      </c>
      <c r="H19" s="12"/>
      <c r="I19" s="12">
        <v>0</v>
      </c>
      <c r="J19" s="12"/>
      <c r="K19" s="12">
        <v>1</v>
      </c>
      <c r="L19" s="12"/>
      <c r="M19" s="12">
        <v>0</v>
      </c>
      <c r="N19" s="12"/>
      <c r="O19" s="12">
        <v>1</v>
      </c>
      <c r="P19" s="12"/>
      <c r="Q19" s="12">
        <v>1</v>
      </c>
      <c r="R19" s="12"/>
      <c r="S19" s="12">
        <v>0</v>
      </c>
      <c r="T19" s="12"/>
      <c r="U19" s="12">
        <v>0</v>
      </c>
      <c r="V19" s="12"/>
      <c r="W19" s="12">
        <v>1</v>
      </c>
      <c r="X19" s="12"/>
      <c r="Y19" s="12">
        <v>0</v>
      </c>
      <c r="Z19" s="12"/>
      <c r="AA19" s="12">
        <f t="shared" ref="AA19" si="2">SUM(C19+E19+G19+I19+K19+M19+O19+Q19+S19+U19+W19+Y19)</f>
        <v>5</v>
      </c>
      <c r="AB19" s="12">
        <f t="shared" ref="AB19" si="3">+D19+F19+H19+J19+L19+N19+P19+R19+T19+V19+X19+Z19</f>
        <v>0</v>
      </c>
      <c r="AC19"/>
    </row>
    <row r="20" spans="1:29">
      <c r="A20" s="5" t="s">
        <v>387</v>
      </c>
      <c r="B20" s="20" t="s">
        <v>385</v>
      </c>
      <c r="C20" s="12">
        <v>0</v>
      </c>
      <c r="D20" s="12"/>
      <c r="E20" s="12">
        <v>0</v>
      </c>
      <c r="F20" s="12"/>
      <c r="G20" s="12">
        <v>0</v>
      </c>
      <c r="H20" s="12"/>
      <c r="I20" s="12">
        <v>0</v>
      </c>
      <c r="J20" s="12"/>
      <c r="K20" s="12">
        <v>0</v>
      </c>
      <c r="L20" s="12"/>
      <c r="M20" s="12">
        <v>0</v>
      </c>
      <c r="N20" s="12"/>
      <c r="O20" s="12">
        <v>0</v>
      </c>
      <c r="P20" s="12"/>
      <c r="Q20" s="12">
        <v>0</v>
      </c>
      <c r="R20" s="12"/>
      <c r="S20" s="12">
        <v>0</v>
      </c>
      <c r="T20" s="12"/>
      <c r="U20" s="12">
        <v>0</v>
      </c>
      <c r="V20" s="12"/>
      <c r="W20" s="12">
        <v>0</v>
      </c>
      <c r="X20" s="12"/>
      <c r="Y20" s="12">
        <v>0</v>
      </c>
      <c r="Z20" s="12"/>
      <c r="AA20" s="12">
        <f t="shared" si="0"/>
        <v>0</v>
      </c>
      <c r="AB20" s="12">
        <f t="shared" si="1"/>
        <v>0</v>
      </c>
      <c r="AC20"/>
    </row>
    <row r="21" spans="1:29" s="13" customFormat="1">
      <c r="A21" s="6"/>
      <c r="B21" s="6"/>
    </row>
    <row r="22" spans="1:29">
      <c r="B22" s="2"/>
    </row>
    <row r="23" spans="1:29">
      <c r="B23" s="2"/>
    </row>
    <row r="24" spans="1:29">
      <c r="B24" s="2"/>
    </row>
    <row r="25" spans="1:29">
      <c r="B25" s="2"/>
    </row>
    <row r="26" spans="1:29">
      <c r="B26" s="2"/>
    </row>
    <row r="27" spans="1:29">
      <c r="B27" s="2"/>
    </row>
    <row r="28" spans="1:29">
      <c r="B28" s="2"/>
    </row>
    <row r="29" spans="1:29">
      <c r="B29" s="2"/>
    </row>
  </sheetData>
  <mergeCells count="20">
    <mergeCell ref="U10:V10"/>
    <mergeCell ref="W10:X10"/>
    <mergeCell ref="Y10:Z10"/>
    <mergeCell ref="AA10:AB10"/>
    <mergeCell ref="I10:J10"/>
    <mergeCell ref="K10:L10"/>
    <mergeCell ref="M10:N10"/>
    <mergeCell ref="O10:P10"/>
    <mergeCell ref="Q10:R10"/>
    <mergeCell ref="S10:T10"/>
    <mergeCell ref="G1:N2"/>
    <mergeCell ref="G3:N4"/>
    <mergeCell ref="F5:K5"/>
    <mergeCell ref="I6:K6"/>
    <mergeCell ref="C8:Z9"/>
    <mergeCell ref="A10:A11"/>
    <mergeCell ref="B10:B11"/>
    <mergeCell ref="C10:D10"/>
    <mergeCell ref="E10:F10"/>
    <mergeCell ref="G10:H10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  <pageSetUpPr fitToPage="1"/>
  </sheetPr>
  <dimension ref="A1:T107"/>
  <sheetViews>
    <sheetView showGridLines="0" zoomScale="90" zoomScaleNormal="90" workbookViewId="0">
      <pane ySplit="9" topLeftCell="A40" activePane="bottomLeft" state="frozenSplit"/>
      <selection activeCell="G21" sqref="G21"/>
      <selection pane="bottomLeft" activeCell="S41" sqref="S41"/>
    </sheetView>
  </sheetViews>
  <sheetFormatPr baseColWidth="10" defaultColWidth="11.42578125" defaultRowHeight="15"/>
  <cols>
    <col min="1" max="1" width="11.7109375" style="13" customWidth="1"/>
    <col min="2" max="5" width="10.7109375" style="13" customWidth="1"/>
    <col min="6" max="6" width="10.7109375" style="16" customWidth="1"/>
    <col min="7" max="19" width="10.7109375" style="13" customWidth="1"/>
    <col min="20" max="16384" width="11.42578125" style="13"/>
  </cols>
  <sheetData>
    <row r="1" spans="1:19" ht="15" customHeight="1">
      <c r="G1" s="129" t="s">
        <v>243</v>
      </c>
      <c r="H1" s="129"/>
      <c r="I1" s="129"/>
      <c r="J1" s="129"/>
      <c r="K1" s="129"/>
      <c r="L1" s="3"/>
      <c r="M1" s="3"/>
      <c r="N1" s="3"/>
    </row>
    <row r="2" spans="1:19" ht="15" customHeight="1">
      <c r="F2" s="23"/>
      <c r="G2" s="129"/>
      <c r="H2" s="129"/>
      <c r="I2" s="129"/>
      <c r="J2" s="129"/>
      <c r="K2" s="129"/>
      <c r="L2" s="3"/>
      <c r="M2" s="3"/>
      <c r="N2" s="3"/>
    </row>
    <row r="3" spans="1:19" ht="15" customHeight="1">
      <c r="G3" s="129" t="str">
        <f>'LGR CCEE'!G3:K3</f>
        <v>Plan de Mantenimiento Preventivo Año: 2026</v>
      </c>
      <c r="H3" s="129"/>
      <c r="I3" s="129"/>
      <c r="J3" s="129"/>
      <c r="K3" s="129"/>
      <c r="L3" s="3"/>
      <c r="M3" s="3"/>
      <c r="N3" s="3"/>
    </row>
    <row r="4" spans="1:19" ht="15" customHeight="1">
      <c r="G4" s="129" t="s">
        <v>388</v>
      </c>
      <c r="H4" s="129"/>
      <c r="I4" s="129"/>
      <c r="J4" s="129"/>
      <c r="K4" s="129"/>
      <c r="L4" s="3"/>
      <c r="M4" s="3"/>
      <c r="N4" s="3"/>
    </row>
    <row r="5" spans="1:19">
      <c r="E5" s="128" t="s">
        <v>16</v>
      </c>
      <c r="F5" s="128"/>
      <c r="G5" s="128" t="s">
        <v>18</v>
      </c>
      <c r="H5" s="128"/>
      <c r="I5" s="51"/>
    </row>
    <row r="6" spans="1:19">
      <c r="E6" s="128" t="s">
        <v>17</v>
      </c>
      <c r="F6" s="128"/>
      <c r="G6" s="129" t="s">
        <v>277</v>
      </c>
      <c r="H6" s="129"/>
      <c r="J6" s="135"/>
      <c r="K6" s="135"/>
    </row>
    <row r="8" spans="1:19" customFormat="1">
      <c r="A8" s="77" t="str">
        <f>'LGR LOCS CNR'!A8</f>
        <v>Km. al: 30/09/2025</v>
      </c>
      <c r="B8" s="47"/>
      <c r="C8" s="130" t="s">
        <v>40</v>
      </c>
      <c r="D8" s="130"/>
      <c r="E8" s="131" t="s">
        <v>41</v>
      </c>
      <c r="F8" s="131"/>
      <c r="G8" s="131"/>
      <c r="H8" s="132" t="str">
        <f>'LGR LOCS CNR'!H8:S8</f>
        <v>AÑO 2026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spans="1:19">
      <c r="A9" s="33" t="s">
        <v>38</v>
      </c>
      <c r="B9" s="34" t="s">
        <v>36</v>
      </c>
      <c r="C9" s="34" t="s">
        <v>1</v>
      </c>
      <c r="D9" s="34" t="s">
        <v>2</v>
      </c>
      <c r="E9" s="34" t="s">
        <v>1</v>
      </c>
      <c r="F9" s="35" t="s">
        <v>3</v>
      </c>
      <c r="G9" s="34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</row>
    <row r="10" spans="1:19" ht="15" customHeight="1">
      <c r="A10" s="29" t="s">
        <v>43</v>
      </c>
      <c r="B10" s="29" t="s">
        <v>160</v>
      </c>
      <c r="C10" s="17">
        <v>238877</v>
      </c>
      <c r="D10" s="67">
        <v>41898</v>
      </c>
      <c r="E10" s="17">
        <v>55622</v>
      </c>
      <c r="F10" s="29" t="s">
        <v>324</v>
      </c>
      <c r="G10" s="30">
        <v>45318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</row>
    <row r="11" spans="1:19">
      <c r="A11" s="29" t="s">
        <v>43</v>
      </c>
      <c r="B11" s="29" t="s">
        <v>161</v>
      </c>
      <c r="C11" s="29">
        <v>546265</v>
      </c>
      <c r="D11" s="30">
        <v>41624</v>
      </c>
      <c r="E11" s="29">
        <v>0</v>
      </c>
      <c r="F11" s="29" t="s">
        <v>324</v>
      </c>
      <c r="G11" s="30">
        <v>45335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</row>
    <row r="12" spans="1:19" ht="15" customHeight="1">
      <c r="A12" s="29" t="s">
        <v>43</v>
      </c>
      <c r="B12" s="29" t="s">
        <v>162</v>
      </c>
      <c r="C12" s="29">
        <v>778280</v>
      </c>
      <c r="D12" s="30">
        <v>41653</v>
      </c>
      <c r="E12" s="29">
        <v>8319</v>
      </c>
      <c r="F12" s="29" t="s">
        <v>324</v>
      </c>
      <c r="G12" s="30">
        <v>45885</v>
      </c>
      <c r="H12" s="50"/>
      <c r="I12" s="50"/>
      <c r="J12" s="50"/>
      <c r="K12" s="50"/>
      <c r="L12" s="50"/>
      <c r="M12" s="50"/>
      <c r="N12" s="50"/>
      <c r="O12" s="50" t="s">
        <v>352</v>
      </c>
      <c r="P12" s="50"/>
      <c r="Q12" s="50"/>
      <c r="R12" s="50"/>
      <c r="S12" s="50"/>
    </row>
    <row r="13" spans="1:19" ht="15" customHeight="1">
      <c r="A13" s="29" t="s">
        <v>43</v>
      </c>
      <c r="B13" s="29" t="s">
        <v>163</v>
      </c>
      <c r="C13" s="29">
        <v>804522</v>
      </c>
      <c r="D13" s="30">
        <v>41653</v>
      </c>
      <c r="E13" s="29">
        <v>6675</v>
      </c>
      <c r="F13" s="29" t="s">
        <v>324</v>
      </c>
      <c r="G13" s="30">
        <v>45899</v>
      </c>
      <c r="H13" s="50"/>
      <c r="I13" s="50" t="s">
        <v>352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</row>
    <row r="14" spans="1:19" ht="15" customHeight="1">
      <c r="A14" s="29" t="s">
        <v>43</v>
      </c>
      <c r="B14" s="29" t="s">
        <v>164</v>
      </c>
      <c r="C14" s="29">
        <v>814258</v>
      </c>
      <c r="D14" s="30">
        <v>41653</v>
      </c>
      <c r="E14" s="29">
        <v>9163</v>
      </c>
      <c r="F14" s="29" t="s">
        <v>324</v>
      </c>
      <c r="G14" s="30">
        <v>45864</v>
      </c>
      <c r="H14" s="50"/>
      <c r="I14" s="50"/>
      <c r="J14" s="50"/>
      <c r="K14" s="50" t="s">
        <v>352</v>
      </c>
      <c r="L14" s="50"/>
      <c r="M14" s="50"/>
      <c r="N14" s="50"/>
      <c r="O14" s="50"/>
      <c r="P14" s="50"/>
      <c r="Q14" s="50"/>
      <c r="R14" s="50"/>
      <c r="S14" s="50"/>
    </row>
    <row r="15" spans="1:19" ht="15" customHeight="1">
      <c r="A15" s="29" t="s">
        <v>43</v>
      </c>
      <c r="B15" s="29" t="s">
        <v>165</v>
      </c>
      <c r="C15" s="29">
        <v>660899</v>
      </c>
      <c r="D15" s="30">
        <v>41653</v>
      </c>
      <c r="E15" s="29">
        <v>7508</v>
      </c>
      <c r="F15" s="29" t="s">
        <v>324</v>
      </c>
      <c r="G15" s="30">
        <v>45892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 t="s">
        <v>313</v>
      </c>
    </row>
    <row r="16" spans="1:19">
      <c r="A16" s="29" t="s">
        <v>43</v>
      </c>
      <c r="B16" s="29" t="s">
        <v>166</v>
      </c>
      <c r="C16" s="29">
        <v>725551</v>
      </c>
      <c r="D16" s="30">
        <v>41954</v>
      </c>
      <c r="E16" s="29">
        <v>411</v>
      </c>
      <c r="F16" s="29" t="s">
        <v>334</v>
      </c>
      <c r="G16" s="30">
        <v>45927</v>
      </c>
      <c r="H16" s="50"/>
      <c r="I16" s="50"/>
      <c r="J16" s="50"/>
      <c r="K16" s="50"/>
      <c r="L16" s="50" t="s">
        <v>352</v>
      </c>
      <c r="M16" s="50"/>
      <c r="N16" s="50"/>
      <c r="O16" s="50"/>
      <c r="P16" s="50"/>
      <c r="Q16" s="50"/>
      <c r="R16" s="50"/>
      <c r="S16" s="50"/>
    </row>
    <row r="17" spans="1:19" ht="15" customHeight="1">
      <c r="A17" s="29" t="s">
        <v>43</v>
      </c>
      <c r="B17" s="29" t="s">
        <v>389</v>
      </c>
      <c r="C17" s="29">
        <v>457136</v>
      </c>
      <c r="D17" s="30">
        <v>41911</v>
      </c>
      <c r="E17" s="29">
        <v>411</v>
      </c>
      <c r="F17" s="29" t="s">
        <v>334</v>
      </c>
      <c r="G17" s="30">
        <v>45808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</row>
    <row r="18" spans="1:19" ht="15" customHeight="1">
      <c r="A18" s="29" t="s">
        <v>43</v>
      </c>
      <c r="B18" s="29" t="s">
        <v>390</v>
      </c>
      <c r="C18" s="29">
        <v>575035</v>
      </c>
      <c r="D18" s="30">
        <v>42058</v>
      </c>
      <c r="E18" s="29">
        <v>9963</v>
      </c>
      <c r="F18" s="29" t="s">
        <v>324</v>
      </c>
      <c r="G18" s="30">
        <v>44975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</row>
    <row r="19" spans="1:19" ht="15" customHeight="1">
      <c r="A19" s="29" t="s">
        <v>43</v>
      </c>
      <c r="B19" s="29" t="s">
        <v>167</v>
      </c>
      <c r="C19" s="29">
        <v>667396</v>
      </c>
      <c r="D19" s="30">
        <v>41954</v>
      </c>
      <c r="E19" s="29">
        <v>5009</v>
      </c>
      <c r="F19" s="29" t="s">
        <v>324</v>
      </c>
      <c r="G19" s="30">
        <v>45906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</row>
    <row r="20" spans="1:19" ht="15" customHeight="1">
      <c r="A20" s="29" t="s">
        <v>43</v>
      </c>
      <c r="B20" s="29" t="s">
        <v>168</v>
      </c>
      <c r="C20" s="29">
        <v>668481</v>
      </c>
      <c r="D20" s="30">
        <v>41911</v>
      </c>
      <c r="E20" s="29">
        <v>1666</v>
      </c>
      <c r="F20" s="29" t="s">
        <v>334</v>
      </c>
      <c r="G20" s="30">
        <v>45919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</row>
    <row r="21" spans="1:19" ht="15" customHeight="1">
      <c r="A21" s="29" t="s">
        <v>43</v>
      </c>
      <c r="B21" s="29" t="s">
        <v>169</v>
      </c>
      <c r="C21" s="29">
        <v>819482</v>
      </c>
      <c r="D21" s="30">
        <v>41617</v>
      </c>
      <c r="E21" s="29">
        <v>5009</v>
      </c>
      <c r="F21" s="29" t="s">
        <v>324</v>
      </c>
      <c r="G21" s="30">
        <v>45906</v>
      </c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</row>
    <row r="22" spans="1:19" ht="15" customHeight="1">
      <c r="A22" s="29" t="s">
        <v>43</v>
      </c>
      <c r="B22" s="29" t="s">
        <v>170</v>
      </c>
      <c r="C22" s="29">
        <v>728922</v>
      </c>
      <c r="D22" s="30">
        <v>41617</v>
      </c>
      <c r="E22" s="29">
        <v>7508</v>
      </c>
      <c r="F22" s="29" t="s">
        <v>334</v>
      </c>
      <c r="G22" s="30">
        <v>45884</v>
      </c>
      <c r="H22" s="50"/>
      <c r="I22" s="50"/>
      <c r="J22" s="50"/>
      <c r="K22" s="50"/>
      <c r="L22" s="50"/>
      <c r="M22" s="50" t="s">
        <v>352</v>
      </c>
      <c r="N22" s="50"/>
      <c r="O22" s="50"/>
      <c r="P22" s="50"/>
      <c r="Q22" s="50"/>
      <c r="R22" s="50"/>
      <c r="S22" s="50"/>
    </row>
    <row r="23" spans="1:19" ht="15" customHeight="1">
      <c r="A23" s="29" t="s">
        <v>43</v>
      </c>
      <c r="B23" s="29" t="s">
        <v>171</v>
      </c>
      <c r="C23" s="29">
        <v>905755</v>
      </c>
      <c r="D23" s="30">
        <v>41617</v>
      </c>
      <c r="E23" s="29">
        <v>0</v>
      </c>
      <c r="F23" s="29" t="s">
        <v>324</v>
      </c>
      <c r="G23" s="30">
        <v>45801</v>
      </c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 t="s">
        <v>313</v>
      </c>
      <c r="S23" s="50"/>
    </row>
    <row r="24" spans="1:19" ht="15.75" customHeight="1">
      <c r="A24" s="29" t="s">
        <v>43</v>
      </c>
      <c r="B24" s="29" t="s">
        <v>172</v>
      </c>
      <c r="C24" s="29">
        <v>765324</v>
      </c>
      <c r="D24" s="30">
        <v>41744</v>
      </c>
      <c r="E24" s="29">
        <v>411</v>
      </c>
      <c r="F24" s="29" t="s">
        <v>313</v>
      </c>
      <c r="G24" s="30">
        <v>45912</v>
      </c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 t="s">
        <v>352</v>
      </c>
      <c r="S24" s="50"/>
    </row>
    <row r="25" spans="1:19" ht="15" customHeight="1">
      <c r="A25" s="29" t="s">
        <v>43</v>
      </c>
      <c r="B25" s="29" t="s">
        <v>173</v>
      </c>
      <c r="C25" s="29">
        <v>751199</v>
      </c>
      <c r="D25" s="30">
        <v>41835</v>
      </c>
      <c r="E25" s="29">
        <v>11651</v>
      </c>
      <c r="F25" s="29" t="s">
        <v>334</v>
      </c>
      <c r="G25" s="30">
        <v>45864</v>
      </c>
      <c r="H25" s="50"/>
      <c r="I25" s="50"/>
      <c r="J25" s="50"/>
      <c r="K25" s="50"/>
      <c r="L25" s="50"/>
      <c r="M25" s="50"/>
      <c r="N25" s="50"/>
      <c r="O25" s="50"/>
      <c r="P25" s="50" t="s">
        <v>313</v>
      </c>
      <c r="Q25" s="50"/>
      <c r="R25" s="50"/>
      <c r="S25" s="50"/>
    </row>
    <row r="26" spans="1:19" ht="15" customHeight="1">
      <c r="A26" s="29" t="s">
        <v>43</v>
      </c>
      <c r="B26" s="29" t="s">
        <v>174</v>
      </c>
      <c r="C26" s="29">
        <v>762598</v>
      </c>
      <c r="D26" s="30">
        <v>41835</v>
      </c>
      <c r="E26" s="29">
        <v>8319</v>
      </c>
      <c r="F26" s="29" t="s">
        <v>324</v>
      </c>
      <c r="G26" s="30">
        <v>45885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 t="s">
        <v>352</v>
      </c>
      <c r="S26" s="50"/>
    </row>
    <row r="27" spans="1:19" ht="15" customHeight="1">
      <c r="A27" s="29" t="s">
        <v>43</v>
      </c>
      <c r="B27" s="29" t="s">
        <v>175</v>
      </c>
      <c r="C27" s="29">
        <v>764553</v>
      </c>
      <c r="D27" s="30">
        <v>41744</v>
      </c>
      <c r="E27" s="29">
        <v>0</v>
      </c>
      <c r="F27" s="29" t="s">
        <v>313</v>
      </c>
      <c r="G27" s="30">
        <v>45926</v>
      </c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 t="s">
        <v>352</v>
      </c>
    </row>
    <row r="28" spans="1:19" ht="15" customHeight="1">
      <c r="A28" s="29" t="s">
        <v>43</v>
      </c>
      <c r="B28" s="29" t="s">
        <v>176</v>
      </c>
      <c r="C28" s="29">
        <v>593229</v>
      </c>
      <c r="D28" s="30">
        <v>41704</v>
      </c>
      <c r="E28" s="29">
        <v>0</v>
      </c>
      <c r="F28" s="29" t="s">
        <v>334</v>
      </c>
      <c r="G28" s="30">
        <v>45919</v>
      </c>
      <c r="H28" s="50"/>
      <c r="I28" s="50"/>
      <c r="J28" s="50"/>
      <c r="K28" s="50"/>
      <c r="L28" s="50"/>
      <c r="M28" s="50"/>
      <c r="N28" s="50"/>
      <c r="O28" s="50" t="s">
        <v>313</v>
      </c>
      <c r="P28" s="50"/>
      <c r="Q28" s="50"/>
      <c r="R28" s="50"/>
      <c r="S28" s="50"/>
    </row>
    <row r="29" spans="1:19" ht="15" customHeight="1">
      <c r="A29" s="29" t="s">
        <v>43</v>
      </c>
      <c r="B29" s="29" t="s">
        <v>177</v>
      </c>
      <c r="C29" s="29">
        <v>716553</v>
      </c>
      <c r="D29" s="30">
        <v>41704</v>
      </c>
      <c r="E29" s="29">
        <v>6675</v>
      </c>
      <c r="F29" s="29" t="s">
        <v>334</v>
      </c>
      <c r="G29" s="30">
        <v>45899</v>
      </c>
      <c r="H29" s="50"/>
      <c r="I29" s="50"/>
      <c r="J29" s="50"/>
      <c r="K29" s="50" t="s">
        <v>313</v>
      </c>
      <c r="L29" s="50"/>
      <c r="M29" s="50"/>
      <c r="N29" s="50"/>
      <c r="O29" s="50"/>
      <c r="P29" s="50"/>
      <c r="Q29" s="50"/>
      <c r="R29" s="50"/>
      <c r="S29" s="50"/>
    </row>
    <row r="30" spans="1:19" ht="15" customHeight="1">
      <c r="A30" s="29" t="s">
        <v>43</v>
      </c>
      <c r="B30" s="29" t="s">
        <v>178</v>
      </c>
      <c r="C30" s="29">
        <v>659108</v>
      </c>
      <c r="D30" s="30">
        <v>41704</v>
      </c>
      <c r="E30" s="29">
        <v>7508</v>
      </c>
      <c r="F30" s="29" t="s">
        <v>334</v>
      </c>
      <c r="G30" s="30">
        <v>45777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</row>
    <row r="31" spans="1:19" ht="15" customHeight="1">
      <c r="A31" s="29" t="s">
        <v>43</v>
      </c>
      <c r="B31" s="29" t="s">
        <v>179</v>
      </c>
      <c r="C31" s="29">
        <v>644665</v>
      </c>
      <c r="D31" s="30">
        <v>41704</v>
      </c>
      <c r="E31" s="29">
        <v>4165</v>
      </c>
      <c r="F31" s="29" t="s">
        <v>334</v>
      </c>
      <c r="G31" s="30">
        <v>45773</v>
      </c>
      <c r="H31" s="50"/>
      <c r="I31" s="50"/>
      <c r="J31" s="50"/>
      <c r="K31" s="50"/>
      <c r="L31" s="50"/>
      <c r="M31" s="50"/>
      <c r="N31" s="50" t="s">
        <v>313</v>
      </c>
      <c r="O31" s="50"/>
      <c r="P31" s="50"/>
      <c r="Q31" s="50"/>
      <c r="R31" s="50"/>
      <c r="S31" s="50"/>
    </row>
    <row r="32" spans="1:19" ht="15" customHeight="1">
      <c r="A32" s="29" t="s">
        <v>43</v>
      </c>
      <c r="B32" s="29" t="s">
        <v>180</v>
      </c>
      <c r="C32" s="29">
        <v>568764</v>
      </c>
      <c r="D32" s="30">
        <v>41704</v>
      </c>
      <c r="E32" s="29">
        <v>0</v>
      </c>
      <c r="F32" s="29" t="s">
        <v>334</v>
      </c>
      <c r="G32" s="30">
        <v>45567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</row>
    <row r="33" spans="1:19">
      <c r="A33" s="29" t="s">
        <v>43</v>
      </c>
      <c r="B33" s="29" t="s">
        <v>181</v>
      </c>
      <c r="C33" s="29">
        <v>606914</v>
      </c>
      <c r="D33" s="30">
        <v>41704</v>
      </c>
      <c r="E33" s="29">
        <v>8319</v>
      </c>
      <c r="F33" s="29" t="s">
        <v>324</v>
      </c>
      <c r="G33" s="30">
        <v>45885</v>
      </c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</row>
    <row r="34" spans="1:19">
      <c r="A34" s="29" t="s">
        <v>43</v>
      </c>
      <c r="B34" s="29" t="s">
        <v>182</v>
      </c>
      <c r="C34" s="29">
        <v>758356</v>
      </c>
      <c r="D34" s="30">
        <v>41911</v>
      </c>
      <c r="E34" s="29">
        <v>1666</v>
      </c>
      <c r="F34" s="29" t="s">
        <v>313</v>
      </c>
      <c r="G34" s="30">
        <v>45859</v>
      </c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</row>
    <row r="35" spans="1:19">
      <c r="A35" s="29" t="s">
        <v>43</v>
      </c>
      <c r="B35" s="29" t="s">
        <v>183</v>
      </c>
      <c r="C35" s="29">
        <v>640735</v>
      </c>
      <c r="D35" s="30">
        <v>41835</v>
      </c>
      <c r="E35" s="29">
        <v>411</v>
      </c>
      <c r="F35" s="29" t="s">
        <v>324</v>
      </c>
      <c r="G35" s="30">
        <v>45892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 t="s">
        <v>313</v>
      </c>
      <c r="S35" s="50"/>
    </row>
    <row r="36" spans="1:19">
      <c r="A36" s="29" t="s">
        <v>43</v>
      </c>
      <c r="B36" s="29" t="s">
        <v>184</v>
      </c>
      <c r="C36" s="29">
        <v>777933</v>
      </c>
      <c r="D36" s="30">
        <v>41744</v>
      </c>
      <c r="E36" s="29">
        <v>3332</v>
      </c>
      <c r="F36" s="29" t="s">
        <v>334</v>
      </c>
      <c r="G36" s="30">
        <v>45913</v>
      </c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 t="s">
        <v>313</v>
      </c>
      <c r="S36" s="50"/>
    </row>
    <row r="37" spans="1:19">
      <c r="A37" s="29" t="s">
        <v>43</v>
      </c>
      <c r="B37" s="29" t="s">
        <v>185</v>
      </c>
      <c r="C37" s="29">
        <v>742719</v>
      </c>
      <c r="D37" s="30">
        <v>41835</v>
      </c>
      <c r="E37" s="29">
        <v>1666</v>
      </c>
      <c r="F37" s="29" t="s">
        <v>324</v>
      </c>
      <c r="G37" s="30">
        <v>45919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</row>
    <row r="38" spans="1:19">
      <c r="A38" s="29" t="s">
        <v>43</v>
      </c>
      <c r="B38" s="29" t="s">
        <v>186</v>
      </c>
      <c r="C38" s="29">
        <v>645425</v>
      </c>
      <c r="D38" s="30">
        <v>41835</v>
      </c>
      <c r="E38" s="29">
        <v>0</v>
      </c>
      <c r="F38" s="29" t="s">
        <v>324</v>
      </c>
      <c r="G38" s="30">
        <v>45826</v>
      </c>
      <c r="H38" s="50"/>
      <c r="I38" s="50"/>
      <c r="J38" s="50" t="s">
        <v>313</v>
      </c>
      <c r="K38" s="50"/>
      <c r="L38" s="50"/>
      <c r="M38" s="50"/>
      <c r="N38" s="50"/>
      <c r="O38" s="50"/>
      <c r="P38" s="50"/>
      <c r="Q38" s="50"/>
      <c r="R38" s="50"/>
      <c r="S38" s="50"/>
    </row>
    <row r="39" spans="1:19">
      <c r="A39" s="29" t="s">
        <v>43</v>
      </c>
      <c r="B39" s="29" t="s">
        <v>187</v>
      </c>
      <c r="C39" s="29">
        <v>740240</v>
      </c>
      <c r="D39" s="30">
        <v>41954</v>
      </c>
      <c r="E39" s="29">
        <v>6675</v>
      </c>
      <c r="F39" s="29" t="s">
        <v>324</v>
      </c>
      <c r="G39" s="30">
        <v>45899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</row>
    <row r="40" spans="1:19">
      <c r="A40" s="29" t="s">
        <v>43</v>
      </c>
      <c r="B40" s="29" t="s">
        <v>188</v>
      </c>
      <c r="C40" s="29">
        <v>758314</v>
      </c>
      <c r="D40" s="30">
        <v>41911</v>
      </c>
      <c r="E40" s="29">
        <v>0</v>
      </c>
      <c r="F40" s="29" t="s">
        <v>313</v>
      </c>
      <c r="G40" s="30">
        <v>45833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</row>
    <row r="41" spans="1:19">
      <c r="A41" s="29" t="s">
        <v>43</v>
      </c>
      <c r="B41" s="29" t="s">
        <v>189</v>
      </c>
      <c r="C41" s="29">
        <v>555520</v>
      </c>
      <c r="D41" s="30">
        <v>41911</v>
      </c>
      <c r="E41" s="29">
        <v>0</v>
      </c>
      <c r="F41" s="29" t="s">
        <v>334</v>
      </c>
      <c r="G41" s="30">
        <v>45567</v>
      </c>
      <c r="H41" s="50"/>
      <c r="I41" s="50"/>
      <c r="J41" s="50"/>
      <c r="K41" s="50"/>
      <c r="L41" s="50"/>
      <c r="M41" s="50" t="s">
        <v>313</v>
      </c>
      <c r="N41" s="50"/>
      <c r="O41" s="50"/>
      <c r="P41" s="50"/>
      <c r="Q41" s="50"/>
      <c r="R41" s="50"/>
      <c r="S41" s="50"/>
    </row>
    <row r="42" spans="1:19">
      <c r="A42" s="29" t="s">
        <v>43</v>
      </c>
      <c r="B42" s="29" t="s">
        <v>190</v>
      </c>
      <c r="C42" s="29">
        <v>729156</v>
      </c>
      <c r="D42" s="30">
        <v>41806</v>
      </c>
      <c r="E42" s="29">
        <v>1666</v>
      </c>
      <c r="F42" s="29" t="s">
        <v>334</v>
      </c>
      <c r="G42" s="30">
        <v>45919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</row>
    <row r="43" spans="1:19">
      <c r="A43" s="59" t="s">
        <v>43</v>
      </c>
      <c r="B43" s="15" t="s">
        <v>262</v>
      </c>
      <c r="C43" s="55">
        <v>600835</v>
      </c>
      <c r="D43" s="56">
        <v>41857</v>
      </c>
      <c r="E43" s="46">
        <v>0</v>
      </c>
      <c r="F43" s="57" t="s">
        <v>334</v>
      </c>
      <c r="G43" s="58">
        <v>45880</v>
      </c>
      <c r="H43" s="50"/>
      <c r="I43" s="50"/>
      <c r="J43" s="50"/>
      <c r="K43" s="50"/>
      <c r="L43" s="50" t="s">
        <v>313</v>
      </c>
      <c r="M43" s="50"/>
      <c r="N43" s="50"/>
      <c r="O43" s="50"/>
      <c r="P43" s="50"/>
      <c r="Q43" s="50"/>
      <c r="R43" s="50"/>
      <c r="S43" s="50"/>
    </row>
    <row r="44" spans="1:19">
      <c r="A44" s="29" t="s">
        <v>43</v>
      </c>
      <c r="B44" s="29" t="s">
        <v>191</v>
      </c>
      <c r="C44" s="29">
        <v>641637</v>
      </c>
      <c r="D44" s="30">
        <v>41954</v>
      </c>
      <c r="E44" s="29">
        <v>3332</v>
      </c>
      <c r="F44" s="29" t="s">
        <v>324</v>
      </c>
      <c r="G44" s="30">
        <v>45913</v>
      </c>
      <c r="H44" s="50"/>
      <c r="I44" s="50"/>
      <c r="J44" s="50"/>
      <c r="K44" s="50"/>
      <c r="L44" s="50"/>
      <c r="M44" s="50"/>
      <c r="N44" s="50"/>
      <c r="O44" s="50"/>
      <c r="P44" s="50"/>
      <c r="Q44" s="50" t="s">
        <v>313</v>
      </c>
      <c r="R44" s="50"/>
      <c r="S44" s="50"/>
    </row>
    <row r="45" spans="1:19">
      <c r="A45" s="29" t="s">
        <v>43</v>
      </c>
      <c r="B45" s="29" t="s">
        <v>192</v>
      </c>
      <c r="C45" s="29">
        <v>736232</v>
      </c>
      <c r="D45" s="30">
        <v>41911</v>
      </c>
      <c r="E45" s="29">
        <v>3332</v>
      </c>
      <c r="F45" s="29" t="s">
        <v>324</v>
      </c>
      <c r="G45" s="30">
        <v>45913</v>
      </c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</row>
    <row r="46" spans="1:19">
      <c r="A46" s="29" t="s">
        <v>43</v>
      </c>
      <c r="B46" s="29" t="s">
        <v>193</v>
      </c>
      <c r="C46" s="29">
        <v>510016</v>
      </c>
      <c r="D46" s="30">
        <v>41911</v>
      </c>
      <c r="E46" s="29">
        <v>5009</v>
      </c>
      <c r="F46" s="29" t="s">
        <v>334</v>
      </c>
      <c r="G46" s="30">
        <v>45906</v>
      </c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 t="s">
        <v>313</v>
      </c>
    </row>
    <row r="47" spans="1:19">
      <c r="A47" s="29" t="s">
        <v>43</v>
      </c>
      <c r="B47" s="29" t="s">
        <v>194</v>
      </c>
      <c r="C47" s="29">
        <v>464766</v>
      </c>
      <c r="D47" s="30">
        <v>41911</v>
      </c>
      <c r="E47" s="29">
        <v>20814</v>
      </c>
      <c r="F47" s="29" t="s">
        <v>324</v>
      </c>
      <c r="G47" s="30">
        <v>45675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</row>
    <row r="48" spans="1:19">
      <c r="A48" s="29" t="s">
        <v>43</v>
      </c>
      <c r="B48" s="29" t="s">
        <v>195</v>
      </c>
      <c r="C48" s="29">
        <v>754929</v>
      </c>
      <c r="D48" s="30">
        <v>41911</v>
      </c>
      <c r="E48" s="29">
        <v>0</v>
      </c>
      <c r="F48" s="29" t="s">
        <v>313</v>
      </c>
      <c r="G48" s="30">
        <v>45804</v>
      </c>
      <c r="H48" s="50"/>
      <c r="I48" s="50"/>
      <c r="J48" s="50"/>
      <c r="K48" s="50"/>
      <c r="L48" s="50"/>
      <c r="M48" s="50"/>
      <c r="N48" s="50"/>
      <c r="O48" s="50"/>
      <c r="P48" s="50"/>
      <c r="Q48" s="50" t="s">
        <v>313</v>
      </c>
      <c r="R48" s="50"/>
      <c r="S48" s="50"/>
    </row>
    <row r="49" spans="1:19">
      <c r="A49" s="29" t="s">
        <v>43</v>
      </c>
      <c r="B49" s="29" t="s">
        <v>196</v>
      </c>
      <c r="C49" s="29">
        <v>658964</v>
      </c>
      <c r="D49" s="30">
        <v>41911</v>
      </c>
      <c r="E49" s="29">
        <v>6675</v>
      </c>
      <c r="F49" s="29" t="s">
        <v>324</v>
      </c>
      <c r="G49" s="30">
        <v>45899</v>
      </c>
      <c r="H49" s="50"/>
      <c r="I49" s="50"/>
      <c r="J49" s="50"/>
      <c r="K49" s="50"/>
      <c r="L49" s="50"/>
      <c r="M49" s="50"/>
      <c r="N49" s="50"/>
      <c r="O49" s="50"/>
      <c r="P49" s="50"/>
      <c r="Q49" s="50" t="s">
        <v>313</v>
      </c>
      <c r="R49" s="50"/>
      <c r="S49" s="50"/>
    </row>
    <row r="50" spans="1:19">
      <c r="A50" s="29" t="s">
        <v>43</v>
      </c>
      <c r="B50" s="29" t="s">
        <v>197</v>
      </c>
      <c r="C50" s="29">
        <v>653569</v>
      </c>
      <c r="D50" s="30">
        <v>41911</v>
      </c>
      <c r="E50" s="29">
        <v>3332</v>
      </c>
      <c r="F50" s="29" t="s">
        <v>324</v>
      </c>
      <c r="G50" s="30">
        <v>45913</v>
      </c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</row>
    <row r="51" spans="1:19">
      <c r="A51" s="29" t="s">
        <v>43</v>
      </c>
      <c r="B51" s="29" t="s">
        <v>198</v>
      </c>
      <c r="C51" s="29">
        <v>709196</v>
      </c>
      <c r="D51" s="30">
        <v>41911</v>
      </c>
      <c r="E51" s="29">
        <v>0</v>
      </c>
      <c r="F51" s="29" t="s">
        <v>324</v>
      </c>
      <c r="G51" s="30">
        <v>45919</v>
      </c>
      <c r="H51" s="50"/>
      <c r="I51" s="50"/>
      <c r="J51" s="50"/>
      <c r="K51" s="50"/>
      <c r="L51" s="50"/>
      <c r="M51" s="50"/>
      <c r="N51" s="50"/>
      <c r="O51" s="50"/>
      <c r="P51" s="50"/>
      <c r="Q51" s="50" t="s">
        <v>352</v>
      </c>
      <c r="R51" s="50"/>
      <c r="S51" s="50"/>
    </row>
    <row r="52" spans="1:19">
      <c r="A52" s="29" t="s">
        <v>43</v>
      </c>
      <c r="B52" s="29" t="s">
        <v>199</v>
      </c>
      <c r="C52" s="29">
        <v>638763</v>
      </c>
      <c r="D52" s="30">
        <v>41911</v>
      </c>
      <c r="E52" s="29">
        <v>5009</v>
      </c>
      <c r="F52" s="29" t="s">
        <v>324</v>
      </c>
      <c r="G52" s="30">
        <v>45906</v>
      </c>
      <c r="H52" s="50"/>
      <c r="I52" s="50" t="s">
        <v>313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</row>
    <row r="53" spans="1:19">
      <c r="A53" s="29" t="s">
        <v>43</v>
      </c>
      <c r="B53" s="29" t="s">
        <v>200</v>
      </c>
      <c r="C53" s="29">
        <v>744087</v>
      </c>
      <c r="D53" s="30">
        <v>41911</v>
      </c>
      <c r="E53" s="29">
        <v>411</v>
      </c>
      <c r="F53" s="29" t="s">
        <v>334</v>
      </c>
      <c r="G53" s="30">
        <v>45927</v>
      </c>
      <c r="H53" s="50"/>
      <c r="I53" s="50"/>
      <c r="J53" s="50"/>
      <c r="K53" s="50"/>
      <c r="L53" s="50"/>
      <c r="M53" s="50"/>
      <c r="N53" s="50"/>
      <c r="O53" s="50"/>
      <c r="P53" s="50" t="s">
        <v>313</v>
      </c>
      <c r="Q53" s="50"/>
      <c r="R53" s="50"/>
      <c r="S53" s="50"/>
    </row>
    <row r="54" spans="1:19">
      <c r="A54" s="29" t="s">
        <v>43</v>
      </c>
      <c r="B54" s="29" t="s">
        <v>201</v>
      </c>
      <c r="C54" s="29">
        <v>791593</v>
      </c>
      <c r="D54" s="30">
        <v>41911</v>
      </c>
      <c r="E54" s="29">
        <v>7508</v>
      </c>
      <c r="F54" s="29" t="s">
        <v>334</v>
      </c>
      <c r="G54" s="30">
        <v>45892</v>
      </c>
      <c r="H54" s="50"/>
      <c r="I54" s="50"/>
      <c r="J54" s="50"/>
      <c r="K54" s="50"/>
      <c r="L54" s="50"/>
      <c r="M54" s="50"/>
      <c r="N54" s="50"/>
      <c r="O54" s="50"/>
      <c r="P54" s="50" t="s">
        <v>352</v>
      </c>
      <c r="Q54" s="50"/>
      <c r="R54" s="50"/>
      <c r="S54" s="50"/>
    </row>
    <row r="55" spans="1:19">
      <c r="A55" s="29" t="s">
        <v>43</v>
      </c>
      <c r="B55" s="29" t="s">
        <v>202</v>
      </c>
      <c r="C55" s="29">
        <v>756152</v>
      </c>
      <c r="D55" s="30">
        <v>42466</v>
      </c>
      <c r="E55" s="29">
        <v>1666</v>
      </c>
      <c r="F55" s="29" t="s">
        <v>324</v>
      </c>
      <c r="G55" s="30">
        <v>45919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 t="s">
        <v>349</v>
      </c>
    </row>
    <row r="56" spans="1:19">
      <c r="A56" s="29" t="s">
        <v>43</v>
      </c>
      <c r="B56" s="29" t="s">
        <v>203</v>
      </c>
      <c r="C56" s="29">
        <v>771855</v>
      </c>
      <c r="D56" s="30">
        <v>41954</v>
      </c>
      <c r="E56" s="29">
        <v>3343</v>
      </c>
      <c r="F56" s="29" t="s">
        <v>313</v>
      </c>
      <c r="G56" s="30">
        <v>45890</v>
      </c>
      <c r="H56" s="50"/>
      <c r="I56" s="50"/>
      <c r="J56" s="50"/>
      <c r="K56" s="50"/>
      <c r="L56" s="50"/>
      <c r="M56" s="50"/>
      <c r="N56" s="50"/>
      <c r="O56" s="50"/>
      <c r="P56" s="50"/>
      <c r="Q56" s="50" t="s">
        <v>352</v>
      </c>
      <c r="R56" s="50"/>
      <c r="S56" s="50"/>
    </row>
    <row r="57" spans="1:19">
      <c r="A57" s="29" t="s">
        <v>43</v>
      </c>
      <c r="B57" s="29" t="s">
        <v>204</v>
      </c>
      <c r="C57" s="29">
        <v>958504</v>
      </c>
      <c r="D57" s="30">
        <v>41761</v>
      </c>
      <c r="E57" s="29">
        <v>7508</v>
      </c>
      <c r="F57" s="29" t="s">
        <v>324</v>
      </c>
      <c r="G57" s="30">
        <v>45890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 t="s">
        <v>313</v>
      </c>
      <c r="S57" s="50"/>
    </row>
    <row r="58" spans="1:19">
      <c r="A58" s="29" t="s">
        <v>43</v>
      </c>
      <c r="B58" s="29" t="s">
        <v>205</v>
      </c>
      <c r="C58" s="29">
        <v>793050</v>
      </c>
      <c r="D58" s="30">
        <v>41954</v>
      </c>
      <c r="E58" s="29">
        <v>7508</v>
      </c>
      <c r="F58" s="29" t="s">
        <v>324</v>
      </c>
      <c r="G58" s="30">
        <v>45892</v>
      </c>
      <c r="H58" s="50" t="s">
        <v>352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</row>
    <row r="59" spans="1:19">
      <c r="A59" s="29" t="s">
        <v>43</v>
      </c>
      <c r="B59" s="29" t="s">
        <v>206</v>
      </c>
      <c r="C59" s="29">
        <v>826726</v>
      </c>
      <c r="D59" s="30">
        <v>41912</v>
      </c>
      <c r="E59" s="29">
        <v>411</v>
      </c>
      <c r="F59" s="29" t="s">
        <v>334</v>
      </c>
      <c r="G59" s="30">
        <v>45927</v>
      </c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</row>
    <row r="60" spans="1:19">
      <c r="A60" s="29" t="s">
        <v>43</v>
      </c>
      <c r="B60" s="29" t="s">
        <v>207</v>
      </c>
      <c r="C60" s="29">
        <v>790569</v>
      </c>
      <c r="D60" s="30">
        <v>41822</v>
      </c>
      <c r="E60" s="29">
        <v>3332</v>
      </c>
      <c r="F60" s="29" t="s">
        <v>324</v>
      </c>
      <c r="G60" s="30">
        <v>45913</v>
      </c>
      <c r="H60" s="50"/>
      <c r="I60" s="50"/>
      <c r="J60" s="50"/>
      <c r="K60" s="50"/>
      <c r="L60" s="50"/>
      <c r="M60" s="50"/>
      <c r="N60" s="50"/>
      <c r="O60" s="50" t="s">
        <v>352</v>
      </c>
      <c r="P60" s="50"/>
      <c r="Q60" s="50"/>
      <c r="R60" s="50"/>
      <c r="S60" s="50"/>
    </row>
    <row r="61" spans="1:19">
      <c r="A61" s="29" t="s">
        <v>43</v>
      </c>
      <c r="B61" s="29" t="s">
        <v>208</v>
      </c>
      <c r="C61" s="29">
        <v>824093</v>
      </c>
      <c r="D61" s="30">
        <v>41912</v>
      </c>
      <c r="E61" s="29">
        <v>1666</v>
      </c>
      <c r="F61" s="29" t="s">
        <v>324</v>
      </c>
      <c r="G61" s="30">
        <v>45906</v>
      </c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</row>
    <row r="62" spans="1:19">
      <c r="A62" s="29" t="s">
        <v>43</v>
      </c>
      <c r="B62" s="29" t="s">
        <v>301</v>
      </c>
      <c r="C62" s="29">
        <v>608113</v>
      </c>
      <c r="D62" s="30">
        <v>41653</v>
      </c>
      <c r="E62" s="29">
        <v>1666</v>
      </c>
      <c r="F62" s="29" t="s">
        <v>324</v>
      </c>
      <c r="G62" s="30">
        <v>45920</v>
      </c>
      <c r="H62" s="50"/>
      <c r="I62" s="50" t="s">
        <v>313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</row>
    <row r="63" spans="1:19">
      <c r="A63" s="29" t="s">
        <v>43</v>
      </c>
      <c r="B63" s="29" t="s">
        <v>209</v>
      </c>
      <c r="C63" s="29">
        <v>727955</v>
      </c>
      <c r="D63" s="30">
        <v>41835</v>
      </c>
      <c r="E63" s="29">
        <v>6675</v>
      </c>
      <c r="F63" s="29" t="s">
        <v>324</v>
      </c>
      <c r="G63" s="30">
        <v>45899</v>
      </c>
      <c r="H63" s="50"/>
      <c r="I63" s="50"/>
      <c r="J63" s="50"/>
      <c r="K63" s="50"/>
      <c r="L63" s="50"/>
      <c r="M63" s="50" t="s">
        <v>352</v>
      </c>
      <c r="N63" s="50"/>
      <c r="O63" s="50"/>
      <c r="P63" s="50"/>
      <c r="Q63" s="50"/>
      <c r="R63" s="50"/>
      <c r="S63" s="50"/>
    </row>
    <row r="64" spans="1:19">
      <c r="A64" s="29" t="s">
        <v>43</v>
      </c>
      <c r="B64" s="29" t="s">
        <v>210</v>
      </c>
      <c r="C64" s="29">
        <v>702538</v>
      </c>
      <c r="D64" s="30">
        <v>41704</v>
      </c>
      <c r="E64" s="29">
        <v>3332</v>
      </c>
      <c r="F64" s="29" t="s">
        <v>324</v>
      </c>
      <c r="G64" s="30">
        <v>45913</v>
      </c>
      <c r="H64" s="50"/>
      <c r="I64" s="50"/>
      <c r="J64" s="50"/>
      <c r="K64" s="50"/>
      <c r="L64" s="50"/>
      <c r="M64" s="50"/>
      <c r="N64" s="50"/>
      <c r="O64" s="50"/>
      <c r="P64" s="50" t="s">
        <v>352</v>
      </c>
      <c r="Q64" s="50"/>
      <c r="R64" s="50"/>
      <c r="S64" s="50"/>
    </row>
    <row r="65" spans="1:19">
      <c r="A65" s="29" t="s">
        <v>43</v>
      </c>
      <c r="B65" s="29" t="s">
        <v>211</v>
      </c>
      <c r="C65" s="29">
        <v>832452</v>
      </c>
      <c r="D65" s="30">
        <v>41744</v>
      </c>
      <c r="E65" s="29">
        <v>7508</v>
      </c>
      <c r="F65" s="29" t="s">
        <v>324</v>
      </c>
      <c r="G65" s="30">
        <v>45892</v>
      </c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</row>
    <row r="66" spans="1:19">
      <c r="A66" s="29" t="s">
        <v>43</v>
      </c>
      <c r="B66" s="29" t="s">
        <v>212</v>
      </c>
      <c r="C66" s="29">
        <v>915585</v>
      </c>
      <c r="D66" s="30">
        <v>41857</v>
      </c>
      <c r="E66" s="29">
        <v>0</v>
      </c>
      <c r="F66" s="29" t="s">
        <v>324</v>
      </c>
      <c r="G66" s="30">
        <v>45888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 t="s">
        <v>313</v>
      </c>
      <c r="S66" s="50"/>
    </row>
    <row r="67" spans="1:19">
      <c r="A67" s="29" t="s">
        <v>43</v>
      </c>
      <c r="B67" s="29" t="s">
        <v>213</v>
      </c>
      <c r="C67" s="29">
        <v>808447</v>
      </c>
      <c r="D67" s="30">
        <v>41912</v>
      </c>
      <c r="E67" s="29">
        <v>5009</v>
      </c>
      <c r="F67" s="29" t="s">
        <v>324</v>
      </c>
      <c r="G67" s="30">
        <v>45906</v>
      </c>
      <c r="H67" s="50"/>
      <c r="I67" s="50"/>
      <c r="J67" s="50"/>
      <c r="K67" s="50"/>
      <c r="L67" s="50"/>
      <c r="M67" s="50"/>
      <c r="N67" s="50" t="s">
        <v>352</v>
      </c>
      <c r="O67" s="50"/>
      <c r="P67" s="50"/>
      <c r="Q67" s="50"/>
      <c r="R67" s="50"/>
      <c r="S67" s="50"/>
    </row>
    <row r="68" spans="1:19">
      <c r="A68" s="29" t="s">
        <v>43</v>
      </c>
      <c r="B68" s="29" t="s">
        <v>214</v>
      </c>
      <c r="C68" s="29">
        <v>831263</v>
      </c>
      <c r="D68" s="30">
        <v>41912</v>
      </c>
      <c r="E68" s="29">
        <v>0</v>
      </c>
      <c r="F68" s="29" t="s">
        <v>324</v>
      </c>
      <c r="G68" s="30">
        <v>45919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</row>
    <row r="69" spans="1:19">
      <c r="A69" s="29" t="s">
        <v>43</v>
      </c>
      <c r="B69" s="29" t="s">
        <v>215</v>
      </c>
      <c r="C69" s="29">
        <v>834069</v>
      </c>
      <c r="D69" s="30">
        <v>41954</v>
      </c>
      <c r="E69" s="29">
        <v>411</v>
      </c>
      <c r="F69" s="29" t="s">
        <v>324</v>
      </c>
      <c r="G69" s="30">
        <v>45927</v>
      </c>
      <c r="H69" s="50"/>
      <c r="I69" s="50"/>
      <c r="J69" s="50" t="s">
        <v>352</v>
      </c>
      <c r="K69" s="50"/>
      <c r="L69" s="50"/>
      <c r="M69" s="50"/>
      <c r="N69" s="50"/>
      <c r="O69" s="50"/>
      <c r="P69" s="50"/>
      <c r="Q69" s="50"/>
      <c r="R69" s="50"/>
      <c r="S69" s="50"/>
    </row>
    <row r="70" spans="1:19">
      <c r="A70" s="29" t="s">
        <v>43</v>
      </c>
      <c r="B70" s="29" t="s">
        <v>216</v>
      </c>
      <c r="C70" s="29">
        <v>821359</v>
      </c>
      <c r="D70" s="30">
        <v>41548</v>
      </c>
      <c r="E70" s="29">
        <v>9152</v>
      </c>
      <c r="F70" s="29" t="s">
        <v>334</v>
      </c>
      <c r="G70" s="30">
        <v>45878</v>
      </c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</row>
    <row r="71" spans="1:19">
      <c r="A71" s="29" t="s">
        <v>43</v>
      </c>
      <c r="B71" s="29" t="s">
        <v>217</v>
      </c>
      <c r="C71" s="29">
        <v>965458</v>
      </c>
      <c r="D71" s="30">
        <v>42058</v>
      </c>
      <c r="E71" s="29">
        <v>7508</v>
      </c>
      <c r="F71" s="29" t="s">
        <v>324</v>
      </c>
      <c r="G71" s="30">
        <v>45892</v>
      </c>
      <c r="H71" s="50"/>
      <c r="I71" s="50"/>
      <c r="J71" s="50"/>
      <c r="K71" s="50"/>
      <c r="L71" s="50"/>
      <c r="M71" s="50"/>
      <c r="N71" s="50"/>
      <c r="O71" s="50" t="s">
        <v>313</v>
      </c>
      <c r="P71" s="50"/>
      <c r="Q71" s="50"/>
      <c r="R71" s="50"/>
      <c r="S71" s="50"/>
    </row>
    <row r="72" spans="1:19">
      <c r="A72" s="29" t="s">
        <v>43</v>
      </c>
      <c r="B72" s="29" t="s">
        <v>245</v>
      </c>
      <c r="C72" s="29">
        <v>689696</v>
      </c>
      <c r="D72" s="30">
        <v>41617</v>
      </c>
      <c r="E72" s="29">
        <v>0</v>
      </c>
      <c r="F72" s="29" t="s">
        <v>313</v>
      </c>
      <c r="G72" s="30">
        <v>45895</v>
      </c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</row>
    <row r="73" spans="1:19">
      <c r="A73" s="29" t="s">
        <v>43</v>
      </c>
      <c r="B73" s="29" t="s">
        <v>218</v>
      </c>
      <c r="C73" s="29">
        <v>802603</v>
      </c>
      <c r="D73" s="30">
        <v>41942</v>
      </c>
      <c r="E73" s="29">
        <v>6675</v>
      </c>
      <c r="F73" s="29" t="s">
        <v>324</v>
      </c>
      <c r="G73" s="30">
        <v>45899</v>
      </c>
      <c r="H73" s="50"/>
      <c r="I73" s="50"/>
      <c r="J73" s="50"/>
      <c r="K73" s="50"/>
      <c r="L73" s="50"/>
      <c r="M73" s="50"/>
      <c r="N73" s="50" t="s">
        <v>352</v>
      </c>
      <c r="O73" s="50"/>
      <c r="P73" s="50"/>
      <c r="Q73" s="50"/>
      <c r="R73" s="50"/>
      <c r="S73" s="50"/>
    </row>
    <row r="74" spans="1:19">
      <c r="A74" s="29" t="s">
        <v>43</v>
      </c>
      <c r="B74" s="29" t="s">
        <v>391</v>
      </c>
      <c r="C74" s="29">
        <v>556085</v>
      </c>
      <c r="D74" s="30">
        <v>42466</v>
      </c>
      <c r="E74" s="29">
        <v>411</v>
      </c>
      <c r="F74" s="29" t="s">
        <v>324</v>
      </c>
      <c r="G74" s="30">
        <v>45927</v>
      </c>
      <c r="H74" s="50"/>
      <c r="I74" s="50"/>
      <c r="J74" s="50" t="s">
        <v>313</v>
      </c>
      <c r="K74" s="50"/>
      <c r="L74" s="50"/>
      <c r="M74" s="50"/>
      <c r="N74" s="50"/>
      <c r="O74" s="50"/>
      <c r="P74" s="50"/>
      <c r="Q74" s="50"/>
      <c r="R74" s="50"/>
      <c r="S74" s="50"/>
    </row>
    <row r="75" spans="1:19">
      <c r="A75" s="29" t="s">
        <v>43</v>
      </c>
      <c r="B75" s="29" t="s">
        <v>219</v>
      </c>
      <c r="C75" s="29">
        <v>809930</v>
      </c>
      <c r="D75" s="30">
        <v>41942</v>
      </c>
      <c r="E75" s="29">
        <v>3332</v>
      </c>
      <c r="F75" s="29" t="s">
        <v>324</v>
      </c>
      <c r="G75" s="30">
        <v>45913</v>
      </c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</row>
    <row r="76" spans="1:19">
      <c r="A76" s="29" t="s">
        <v>43</v>
      </c>
      <c r="B76" s="29" t="s">
        <v>220</v>
      </c>
      <c r="C76" s="29">
        <v>743693</v>
      </c>
      <c r="D76" s="30">
        <v>41898</v>
      </c>
      <c r="E76" s="29">
        <v>9996</v>
      </c>
      <c r="F76" s="29" t="s">
        <v>334</v>
      </c>
      <c r="G76" s="30">
        <v>45843</v>
      </c>
      <c r="H76" s="50"/>
      <c r="I76" s="50"/>
      <c r="J76" s="50"/>
      <c r="K76" s="50"/>
      <c r="L76" s="50" t="s">
        <v>352</v>
      </c>
      <c r="M76" s="50"/>
      <c r="N76" s="50"/>
      <c r="O76" s="50"/>
      <c r="P76" s="50"/>
      <c r="Q76" s="50"/>
      <c r="R76" s="50"/>
      <c r="S76" s="50"/>
    </row>
    <row r="77" spans="1:19">
      <c r="A77" s="29" t="s">
        <v>43</v>
      </c>
      <c r="B77" s="29" t="s">
        <v>302</v>
      </c>
      <c r="C77" s="29">
        <v>606938</v>
      </c>
      <c r="D77" s="30">
        <v>41977</v>
      </c>
      <c r="E77" s="29">
        <v>5009</v>
      </c>
      <c r="F77" s="29" t="s">
        <v>334</v>
      </c>
      <c r="G77" s="30">
        <v>45906</v>
      </c>
      <c r="H77" s="50"/>
      <c r="I77" s="50"/>
      <c r="J77" s="50"/>
      <c r="K77" s="50"/>
      <c r="L77" s="50"/>
      <c r="M77" s="50" t="s">
        <v>313</v>
      </c>
      <c r="N77" s="50"/>
      <c r="O77" s="50"/>
      <c r="P77" s="50"/>
      <c r="Q77" s="50"/>
      <c r="R77" s="50"/>
      <c r="S77" s="50"/>
    </row>
    <row r="78" spans="1:19">
      <c r="A78" s="29" t="s">
        <v>43</v>
      </c>
      <c r="B78" s="29" t="s">
        <v>221</v>
      </c>
      <c r="C78" s="29">
        <v>557176</v>
      </c>
      <c r="D78" s="30">
        <v>41974</v>
      </c>
      <c r="E78" s="29">
        <v>0</v>
      </c>
      <c r="F78" s="29" t="s">
        <v>334</v>
      </c>
      <c r="G78" s="30">
        <v>45843</v>
      </c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</row>
    <row r="79" spans="1:19">
      <c r="A79" s="29" t="s">
        <v>43</v>
      </c>
      <c r="B79" s="29" t="s">
        <v>222</v>
      </c>
      <c r="C79" s="29">
        <v>548090</v>
      </c>
      <c r="D79" s="30">
        <v>41974</v>
      </c>
      <c r="E79" s="29">
        <v>3332</v>
      </c>
      <c r="F79" s="29" t="s">
        <v>334</v>
      </c>
      <c r="G79" s="30">
        <v>45913</v>
      </c>
      <c r="H79" s="50"/>
      <c r="I79" s="50"/>
      <c r="J79" s="50"/>
      <c r="K79" s="50"/>
      <c r="L79" s="50"/>
      <c r="M79" s="50" t="s">
        <v>313</v>
      </c>
      <c r="N79" s="50"/>
      <c r="O79" s="50"/>
      <c r="P79" s="50"/>
      <c r="Q79" s="50"/>
      <c r="R79" s="50"/>
      <c r="S79" s="50"/>
    </row>
    <row r="80" spans="1:19">
      <c r="A80" s="29" t="s">
        <v>43</v>
      </c>
      <c r="B80" s="29" t="s">
        <v>223</v>
      </c>
      <c r="C80" s="29">
        <v>646773</v>
      </c>
      <c r="D80" s="30">
        <v>41919</v>
      </c>
      <c r="E80" s="29">
        <v>6675</v>
      </c>
      <c r="F80" s="29" t="s">
        <v>324</v>
      </c>
      <c r="G80" s="30">
        <v>45899</v>
      </c>
      <c r="H80" s="50"/>
      <c r="I80" s="50" t="s">
        <v>313</v>
      </c>
      <c r="J80" s="50"/>
      <c r="K80" s="50"/>
      <c r="L80" s="50"/>
      <c r="M80" s="50"/>
      <c r="N80" s="50"/>
      <c r="O80" s="50"/>
      <c r="P80" s="50"/>
      <c r="Q80" s="50"/>
      <c r="R80" s="50"/>
      <c r="S80" s="50"/>
    </row>
    <row r="81" spans="1:19">
      <c r="A81" s="29" t="s">
        <v>43</v>
      </c>
      <c r="B81" s="29" t="s">
        <v>224</v>
      </c>
      <c r="C81" s="29">
        <v>605287</v>
      </c>
      <c r="D81" s="30">
        <v>42347</v>
      </c>
      <c r="E81" s="29">
        <v>17959</v>
      </c>
      <c r="F81" s="29" t="s">
        <v>334</v>
      </c>
      <c r="G81" s="30">
        <v>45612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</row>
    <row r="82" spans="1:19">
      <c r="A82" s="29" t="s">
        <v>43</v>
      </c>
      <c r="B82" s="29" t="s">
        <v>225</v>
      </c>
      <c r="C82" s="29">
        <v>724352</v>
      </c>
      <c r="D82" s="30">
        <v>41919</v>
      </c>
      <c r="E82" s="29">
        <v>0</v>
      </c>
      <c r="F82" s="29" t="s">
        <v>324</v>
      </c>
      <c r="G82" s="30">
        <v>45818</v>
      </c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</row>
    <row r="83" spans="1:19">
      <c r="A83" s="29" t="s">
        <v>43</v>
      </c>
      <c r="B83" s="29" t="s">
        <v>226</v>
      </c>
      <c r="C83" s="29">
        <v>751986</v>
      </c>
      <c r="D83" s="30">
        <v>41761</v>
      </c>
      <c r="E83" s="29">
        <v>411</v>
      </c>
      <c r="F83" s="29" t="s">
        <v>324</v>
      </c>
      <c r="G83" s="30">
        <v>45927</v>
      </c>
      <c r="H83" s="50" t="s">
        <v>313</v>
      </c>
      <c r="I83" s="50"/>
      <c r="J83" s="50"/>
      <c r="K83" s="50"/>
      <c r="L83" s="50"/>
      <c r="M83" s="50"/>
      <c r="N83" s="50"/>
      <c r="O83" s="50"/>
      <c r="P83" s="50" t="s">
        <v>313</v>
      </c>
      <c r="Q83" s="50"/>
      <c r="R83" s="50"/>
      <c r="S83" s="50"/>
    </row>
    <row r="84" spans="1:19">
      <c r="A84" s="29" t="s">
        <v>43</v>
      </c>
      <c r="B84" s="29" t="s">
        <v>227</v>
      </c>
      <c r="C84" s="29">
        <v>686880</v>
      </c>
      <c r="D84" s="30">
        <v>41919</v>
      </c>
      <c r="E84" s="29">
        <v>0</v>
      </c>
      <c r="F84" s="29" t="s">
        <v>334</v>
      </c>
      <c r="G84" s="30">
        <v>45871</v>
      </c>
      <c r="H84" s="50"/>
      <c r="I84" s="50"/>
      <c r="J84" s="50"/>
      <c r="K84" s="50" t="s">
        <v>313</v>
      </c>
      <c r="L84" s="50"/>
      <c r="M84" s="50"/>
      <c r="N84" s="50"/>
      <c r="O84" s="50"/>
      <c r="P84" s="50"/>
      <c r="Q84" s="50"/>
      <c r="R84" s="50"/>
      <c r="S84" s="50"/>
    </row>
    <row r="85" spans="1:19">
      <c r="A85" s="29" t="s">
        <v>43</v>
      </c>
      <c r="B85" s="29" t="s">
        <v>228</v>
      </c>
      <c r="C85" s="29">
        <v>569595</v>
      </c>
      <c r="D85" s="30">
        <v>41919</v>
      </c>
      <c r="E85" s="29">
        <v>0</v>
      </c>
      <c r="F85" s="29" t="s">
        <v>334</v>
      </c>
      <c r="G85" s="30">
        <v>45485</v>
      </c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</row>
    <row r="86" spans="1:19">
      <c r="A86" s="29" t="s">
        <v>43</v>
      </c>
      <c r="B86" s="29" t="s">
        <v>229</v>
      </c>
      <c r="C86" s="29">
        <v>508223</v>
      </c>
      <c r="D86" s="30">
        <v>42466</v>
      </c>
      <c r="E86" s="29">
        <v>0</v>
      </c>
      <c r="F86" s="29" t="s">
        <v>334</v>
      </c>
      <c r="G86" s="30">
        <v>45825</v>
      </c>
      <c r="H86" s="50"/>
      <c r="I86" s="50"/>
      <c r="J86" s="50"/>
      <c r="K86" s="50"/>
      <c r="L86" s="50"/>
      <c r="M86" s="50"/>
      <c r="N86" s="50"/>
      <c r="O86" s="50"/>
      <c r="P86" s="50"/>
      <c r="Q86" s="50" t="s">
        <v>313</v>
      </c>
      <c r="R86" s="50"/>
      <c r="S86" s="50"/>
    </row>
    <row r="87" spans="1:19">
      <c r="A87" s="29" t="s">
        <v>43</v>
      </c>
      <c r="B87" s="29" t="s">
        <v>230</v>
      </c>
      <c r="C87" s="29">
        <v>682215</v>
      </c>
      <c r="D87" s="30">
        <v>41919</v>
      </c>
      <c r="E87" s="29">
        <v>411</v>
      </c>
      <c r="F87" s="29" t="s">
        <v>334</v>
      </c>
      <c r="G87" s="30">
        <v>45836</v>
      </c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</row>
    <row r="88" spans="1:19">
      <c r="A88" s="29" t="s">
        <v>43</v>
      </c>
      <c r="B88" s="29" t="s">
        <v>231</v>
      </c>
      <c r="C88" s="29">
        <v>562449</v>
      </c>
      <c r="D88" s="30">
        <v>41919</v>
      </c>
      <c r="E88" s="29">
        <v>7508</v>
      </c>
      <c r="F88" s="29" t="s">
        <v>324</v>
      </c>
      <c r="G88" s="30">
        <v>45892</v>
      </c>
      <c r="H88" s="50" t="s">
        <v>313</v>
      </c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</row>
    <row r="89" spans="1:19">
      <c r="A89" s="29" t="s">
        <v>43</v>
      </c>
      <c r="B89" s="29" t="s">
        <v>232</v>
      </c>
      <c r="C89" s="29">
        <v>680078</v>
      </c>
      <c r="D89" s="30">
        <v>41919</v>
      </c>
      <c r="E89" s="29">
        <v>20803</v>
      </c>
      <c r="F89" s="29" t="s">
        <v>324</v>
      </c>
      <c r="G89" s="30">
        <v>45654</v>
      </c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</row>
    <row r="90" spans="1:19">
      <c r="A90" s="29" t="s">
        <v>43</v>
      </c>
      <c r="B90" s="29" t="s">
        <v>233</v>
      </c>
      <c r="C90" s="29">
        <v>578851</v>
      </c>
      <c r="D90" s="30">
        <v>41954</v>
      </c>
      <c r="E90" s="29">
        <v>5009</v>
      </c>
      <c r="F90" s="29" t="s">
        <v>324</v>
      </c>
      <c r="G90" s="30">
        <v>45906</v>
      </c>
      <c r="H90" s="50"/>
      <c r="I90" s="50"/>
      <c r="J90" s="50"/>
      <c r="K90" s="50"/>
      <c r="L90" s="50"/>
      <c r="M90" s="50"/>
      <c r="N90" s="50"/>
      <c r="O90" s="50"/>
      <c r="P90" s="50"/>
      <c r="Q90" s="50" t="s">
        <v>313</v>
      </c>
      <c r="R90" s="50"/>
      <c r="S90" s="50"/>
    </row>
    <row r="91" spans="1:19">
      <c r="A91" s="29" t="s">
        <v>43</v>
      </c>
      <c r="B91" s="29" t="s">
        <v>234</v>
      </c>
      <c r="C91" s="29">
        <v>742910</v>
      </c>
      <c r="D91" s="30">
        <v>41954</v>
      </c>
      <c r="E91" s="29">
        <v>1666</v>
      </c>
      <c r="F91" s="29" t="s">
        <v>324</v>
      </c>
      <c r="G91" s="30">
        <v>45919</v>
      </c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</row>
    <row r="92" spans="1:19">
      <c r="A92" s="29" t="s">
        <v>43</v>
      </c>
      <c r="B92" s="29" t="s">
        <v>235</v>
      </c>
      <c r="C92" s="29">
        <v>767274</v>
      </c>
      <c r="D92" s="30">
        <v>41653</v>
      </c>
      <c r="E92" s="29">
        <v>5009</v>
      </c>
      <c r="F92" s="29" t="s">
        <v>334</v>
      </c>
      <c r="G92" s="30">
        <v>45906</v>
      </c>
      <c r="H92" s="50"/>
      <c r="I92" s="50"/>
      <c r="J92" s="50"/>
      <c r="K92" s="50"/>
      <c r="L92" s="50"/>
      <c r="M92" s="50"/>
      <c r="N92" s="50"/>
      <c r="O92" s="50"/>
      <c r="P92" s="50"/>
      <c r="Q92" s="50" t="s">
        <v>352</v>
      </c>
      <c r="R92" s="50"/>
      <c r="S92" s="50"/>
    </row>
    <row r="93" spans="1:19">
      <c r="A93" s="29" t="s">
        <v>43</v>
      </c>
      <c r="B93" s="29" t="s">
        <v>261</v>
      </c>
      <c r="C93" s="29">
        <v>547122</v>
      </c>
      <c r="D93" s="30">
        <v>41548</v>
      </c>
      <c r="E93" s="29">
        <v>3332</v>
      </c>
      <c r="F93" s="29" t="s">
        <v>324</v>
      </c>
      <c r="G93" s="30">
        <v>45913</v>
      </c>
      <c r="H93" s="50"/>
      <c r="I93" s="50"/>
      <c r="J93" s="50"/>
      <c r="K93" s="50"/>
      <c r="L93" s="50"/>
      <c r="M93" s="50"/>
      <c r="N93" s="50"/>
      <c r="O93" s="50"/>
      <c r="P93" s="50" t="s">
        <v>313</v>
      </c>
      <c r="Q93" s="50"/>
      <c r="R93" s="50"/>
      <c r="S93" s="50"/>
    </row>
    <row r="94" spans="1:19">
      <c r="A94" s="29" t="s">
        <v>43</v>
      </c>
      <c r="B94" s="29" t="s">
        <v>236</v>
      </c>
      <c r="C94" s="29">
        <v>737924</v>
      </c>
      <c r="D94" s="30">
        <v>41983</v>
      </c>
      <c r="E94" s="29">
        <v>6675</v>
      </c>
      <c r="F94" s="29" t="s">
        <v>334</v>
      </c>
      <c r="G94" s="30">
        <v>45899</v>
      </c>
      <c r="H94" s="50"/>
      <c r="I94" s="50"/>
      <c r="J94" s="50"/>
      <c r="K94" s="50" t="s">
        <v>352</v>
      </c>
      <c r="L94" s="50"/>
      <c r="M94" s="50"/>
      <c r="N94" s="50"/>
      <c r="O94" s="50"/>
      <c r="P94" s="50"/>
      <c r="Q94" s="50"/>
      <c r="R94" s="50"/>
      <c r="S94" s="50"/>
    </row>
    <row r="95" spans="1:19">
      <c r="A95" s="29" t="s">
        <v>43</v>
      </c>
      <c r="B95" s="29" t="s">
        <v>237</v>
      </c>
      <c r="C95" s="29">
        <v>788552</v>
      </c>
      <c r="D95" s="30">
        <v>42058</v>
      </c>
      <c r="E95" s="29">
        <v>0</v>
      </c>
      <c r="F95" s="29" t="s">
        <v>324</v>
      </c>
      <c r="G95" s="30">
        <v>45869</v>
      </c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</row>
    <row r="96" spans="1:19">
      <c r="A96" s="29" t="s">
        <v>43</v>
      </c>
      <c r="B96" s="29" t="s">
        <v>238</v>
      </c>
      <c r="C96" s="29">
        <v>639486</v>
      </c>
      <c r="D96" s="30">
        <v>41704</v>
      </c>
      <c r="E96" s="29">
        <v>411</v>
      </c>
      <c r="F96" s="29" t="s">
        <v>334</v>
      </c>
      <c r="G96" s="30">
        <v>45927</v>
      </c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 t="s">
        <v>313</v>
      </c>
    </row>
    <row r="97" spans="1:20">
      <c r="A97" s="29" t="s">
        <v>43</v>
      </c>
      <c r="B97" s="29" t="s">
        <v>239</v>
      </c>
      <c r="C97" s="29">
        <v>755437</v>
      </c>
      <c r="D97" s="30">
        <v>41744</v>
      </c>
      <c r="E97" s="29">
        <v>7508</v>
      </c>
      <c r="F97" s="29" t="s">
        <v>324</v>
      </c>
      <c r="G97" s="30">
        <v>45892</v>
      </c>
      <c r="H97" s="50"/>
      <c r="I97" s="50"/>
      <c r="J97" s="50"/>
      <c r="K97" s="50"/>
      <c r="L97" s="50" t="s">
        <v>313</v>
      </c>
      <c r="M97" s="50"/>
      <c r="N97" s="50"/>
      <c r="O97" s="50"/>
      <c r="P97" s="50"/>
      <c r="Q97" s="50"/>
      <c r="R97" s="50"/>
      <c r="S97" s="50"/>
    </row>
    <row r="98" spans="1:20">
      <c r="A98" s="29" t="s">
        <v>43</v>
      </c>
      <c r="B98" s="29" t="s">
        <v>240</v>
      </c>
      <c r="C98" s="29">
        <v>805529</v>
      </c>
      <c r="D98" s="30">
        <v>41857</v>
      </c>
      <c r="E98" s="29">
        <v>3332</v>
      </c>
      <c r="F98" s="29" t="s">
        <v>334</v>
      </c>
      <c r="G98" s="30">
        <v>45878</v>
      </c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</row>
    <row r="99" spans="1:20">
      <c r="A99" s="29" t="s">
        <v>43</v>
      </c>
      <c r="B99" s="29" t="s">
        <v>241</v>
      </c>
      <c r="C99" s="29">
        <v>669620</v>
      </c>
      <c r="D99" s="30">
        <v>41954</v>
      </c>
      <c r="E99" s="29">
        <v>1666</v>
      </c>
      <c r="F99" s="29" t="s">
        <v>324</v>
      </c>
      <c r="G99" s="30">
        <v>45919</v>
      </c>
      <c r="H99" s="50" t="s">
        <v>313</v>
      </c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</row>
    <row r="100" spans="1:20">
      <c r="A100" s="69"/>
      <c r="B100" s="69"/>
      <c r="C100" s="69"/>
      <c r="D100" s="70"/>
      <c r="E100" s="69"/>
      <c r="F100" s="69"/>
      <c r="G100" s="7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</row>
    <row r="101" spans="1:20">
      <c r="A101" s="8"/>
      <c r="B101" s="6"/>
      <c r="G101" s="13" t="s">
        <v>349</v>
      </c>
      <c r="H101" s="60">
        <f t="shared" ref="H101:S101" si="0">COUNTIF(H$10:H$99,"A1 + BV")</f>
        <v>0</v>
      </c>
      <c r="I101" s="60">
        <f t="shared" si="0"/>
        <v>0</v>
      </c>
      <c r="J101" s="60">
        <f t="shared" si="0"/>
        <v>0</v>
      </c>
      <c r="K101" s="60">
        <f t="shared" si="0"/>
        <v>0</v>
      </c>
      <c r="L101" s="60">
        <f t="shared" si="0"/>
        <v>0</v>
      </c>
      <c r="M101" s="60">
        <f t="shared" si="0"/>
        <v>0</v>
      </c>
      <c r="N101" s="60">
        <f t="shared" si="0"/>
        <v>0</v>
      </c>
      <c r="O101" s="60">
        <f t="shared" si="0"/>
        <v>0</v>
      </c>
      <c r="P101" s="60">
        <f t="shared" si="0"/>
        <v>0</v>
      </c>
      <c r="Q101" s="60">
        <f t="shared" si="0"/>
        <v>0</v>
      </c>
      <c r="R101" s="60">
        <f t="shared" si="0"/>
        <v>0</v>
      </c>
      <c r="S101" s="60">
        <f t="shared" si="0"/>
        <v>1</v>
      </c>
      <c r="T101" s="60">
        <f>SUM(H101:S101)</f>
        <v>1</v>
      </c>
    </row>
    <row r="102" spans="1:20">
      <c r="A102" s="8"/>
      <c r="B102" s="6"/>
      <c r="G102" s="13" t="s">
        <v>313</v>
      </c>
      <c r="H102" s="60">
        <f t="shared" ref="H102:R102" si="1">COUNTIF(H$10:H$99,"A1")+H101</f>
        <v>3</v>
      </c>
      <c r="I102" s="60">
        <f t="shared" si="1"/>
        <v>3</v>
      </c>
      <c r="J102" s="60">
        <f t="shared" si="1"/>
        <v>2</v>
      </c>
      <c r="K102" s="60">
        <f t="shared" si="1"/>
        <v>2</v>
      </c>
      <c r="L102" s="60">
        <f t="shared" si="1"/>
        <v>2</v>
      </c>
      <c r="M102" s="60">
        <f t="shared" si="1"/>
        <v>3</v>
      </c>
      <c r="N102" s="60">
        <f t="shared" si="1"/>
        <v>1</v>
      </c>
      <c r="O102" s="60">
        <f t="shared" si="1"/>
        <v>2</v>
      </c>
      <c r="P102" s="60">
        <f t="shared" si="1"/>
        <v>4</v>
      </c>
      <c r="Q102" s="60">
        <f t="shared" si="1"/>
        <v>5</v>
      </c>
      <c r="R102" s="60">
        <f t="shared" si="1"/>
        <v>5</v>
      </c>
      <c r="S102" s="60">
        <f>COUNTIF(S$10:S$99,"A1")+S101</f>
        <v>4</v>
      </c>
      <c r="T102" s="60">
        <f>SUM(H102:S102)</f>
        <v>36</v>
      </c>
    </row>
    <row r="103" spans="1:20">
      <c r="A103" s="1"/>
      <c r="B103" s="8"/>
      <c r="G103" s="13" t="s">
        <v>314</v>
      </c>
      <c r="H103" s="60">
        <f t="shared" ref="H103:S103" si="2">COUNTIF(H$10:H$99,"A2")</f>
        <v>0</v>
      </c>
      <c r="I103" s="60">
        <f t="shared" si="2"/>
        <v>0</v>
      </c>
      <c r="J103" s="60">
        <f t="shared" si="2"/>
        <v>0</v>
      </c>
      <c r="K103" s="60">
        <f t="shared" si="2"/>
        <v>0</v>
      </c>
      <c r="L103" s="60">
        <f t="shared" si="2"/>
        <v>0</v>
      </c>
      <c r="M103" s="60">
        <f t="shared" si="2"/>
        <v>0</v>
      </c>
      <c r="N103" s="60">
        <f t="shared" si="2"/>
        <v>0</v>
      </c>
      <c r="O103" s="60">
        <f t="shared" si="2"/>
        <v>0</v>
      </c>
      <c r="P103" s="60">
        <f t="shared" si="2"/>
        <v>0</v>
      </c>
      <c r="Q103" s="60">
        <f t="shared" si="2"/>
        <v>0</v>
      </c>
      <c r="R103" s="60">
        <f t="shared" si="2"/>
        <v>0</v>
      </c>
      <c r="S103" s="60">
        <f t="shared" si="2"/>
        <v>0</v>
      </c>
      <c r="T103" s="60">
        <f>SUM(H103:S103)</f>
        <v>0</v>
      </c>
    </row>
    <row r="104" spans="1:20">
      <c r="A104" s="1"/>
      <c r="B104" s="8"/>
      <c r="G104" s="13" t="s">
        <v>352</v>
      </c>
      <c r="H104" s="60">
        <f t="shared" ref="H104:S104" si="3">COUNTIF(H$10:H$99,"A3")</f>
        <v>1</v>
      </c>
      <c r="I104" s="60">
        <f t="shared" si="3"/>
        <v>1</v>
      </c>
      <c r="J104" s="60">
        <f t="shared" si="3"/>
        <v>1</v>
      </c>
      <c r="K104" s="60">
        <f t="shared" si="3"/>
        <v>2</v>
      </c>
      <c r="L104" s="60">
        <f t="shared" si="3"/>
        <v>2</v>
      </c>
      <c r="M104" s="60">
        <f t="shared" si="3"/>
        <v>2</v>
      </c>
      <c r="N104" s="60">
        <f t="shared" si="3"/>
        <v>2</v>
      </c>
      <c r="O104" s="60">
        <f t="shared" si="3"/>
        <v>2</v>
      </c>
      <c r="P104" s="60">
        <f t="shared" si="3"/>
        <v>2</v>
      </c>
      <c r="Q104" s="60">
        <f t="shared" si="3"/>
        <v>3</v>
      </c>
      <c r="R104" s="60">
        <f t="shared" si="3"/>
        <v>2</v>
      </c>
      <c r="S104" s="60">
        <f t="shared" si="3"/>
        <v>1</v>
      </c>
      <c r="T104" s="60">
        <f>SUM(H104:S104)</f>
        <v>21</v>
      </c>
    </row>
    <row r="105" spans="1:20">
      <c r="B105" s="6"/>
    </row>
    <row r="106" spans="1:20">
      <c r="B106" s="1"/>
    </row>
    <row r="107" spans="1:20">
      <c r="B107" s="1"/>
    </row>
  </sheetData>
  <autoFilter ref="A9:S105" xr:uid="{00000000-0009-0000-0000-00000A000000}"/>
  <mergeCells count="11">
    <mergeCell ref="C8:D8"/>
    <mergeCell ref="E8:G8"/>
    <mergeCell ref="H8:S8"/>
    <mergeCell ref="G1:K2"/>
    <mergeCell ref="G3:K3"/>
    <mergeCell ref="G4:K4"/>
    <mergeCell ref="E5:F5"/>
    <mergeCell ref="G5:H5"/>
    <mergeCell ref="E6:F6"/>
    <mergeCell ref="G6:H6"/>
    <mergeCell ref="J6:K6"/>
  </mergeCells>
  <conditionalFormatting sqref="C43">
    <cfRule type="cellIs" dxfId="36" priority="100" operator="equal">
      <formula>"TRIM"</formula>
    </cfRule>
    <cfRule type="cellIs" dxfId="35" priority="101" operator="equal">
      <formula>"SEM"</formula>
    </cfRule>
    <cfRule type="cellIs" dxfId="34" priority="102" operator="equal">
      <formula>"A1"</formula>
    </cfRule>
    <cfRule type="cellIs" dxfId="33" priority="103" operator="equal">
      <formula>"A2"</formula>
    </cfRule>
    <cfRule type="cellIs" dxfId="32" priority="104" operator="equal">
      <formula>"250Hs"</formula>
    </cfRule>
  </conditionalFormatting>
  <conditionalFormatting sqref="H10:S100">
    <cfRule type="cellIs" dxfId="31" priority="1" operator="equal">
      <formula>"A3"</formula>
    </cfRule>
    <cfRule type="cellIs" dxfId="30" priority="98" operator="equal">
      <formula>"A2"</formula>
    </cfRule>
    <cfRule type="cellIs" dxfId="29" priority="99" operator="equal">
      <formula>"A1'"</formula>
    </cfRule>
  </conditionalFormatting>
  <pageMargins left="0.70866141732283472" right="0.70866141732283472" top="0.74803149606299213" bottom="0.74803149606299213" header="0.31496062992125984" footer="0.31496062992125984"/>
  <pageSetup paperSize="9" scale="60" fitToHeight="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  <pageSetUpPr fitToPage="1"/>
  </sheetPr>
  <dimension ref="A1:AC23"/>
  <sheetViews>
    <sheetView showGridLines="0" zoomScale="90" zoomScaleNormal="90" workbookViewId="0"/>
  </sheetViews>
  <sheetFormatPr baseColWidth="10" defaultRowHeight="15"/>
  <cols>
    <col min="1" max="1" width="15.7109375" style="13" customWidth="1"/>
    <col min="2" max="2" width="10.7109375" style="13" customWidth="1"/>
    <col min="3" max="29" width="6.7109375" style="13" customWidth="1"/>
  </cols>
  <sheetData>
    <row r="1" spans="1:29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29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29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29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29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29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277</v>
      </c>
      <c r="M6" s="3"/>
      <c r="N6" s="3"/>
    </row>
    <row r="7" spans="1:29">
      <c r="A7" s="3"/>
      <c r="B7" s="3"/>
      <c r="C7" s="3"/>
      <c r="D7" s="3"/>
      <c r="E7" s="3"/>
    </row>
    <row r="8" spans="1:29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9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29">
      <c r="A10" s="133" t="s">
        <v>34</v>
      </c>
      <c r="B10" s="130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  <c r="AC10"/>
    </row>
    <row r="11" spans="1:29">
      <c r="A11" s="133"/>
      <c r="B11" s="130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  <c r="AC11"/>
    </row>
    <row r="12" spans="1:29">
      <c r="A12" s="5" t="s">
        <v>258</v>
      </c>
      <c r="B12" s="18" t="s">
        <v>54</v>
      </c>
      <c r="C12" s="12">
        <v>30</v>
      </c>
      <c r="D12" s="12"/>
      <c r="E12" s="12">
        <v>30</v>
      </c>
      <c r="F12" s="12"/>
      <c r="G12" s="12">
        <v>30</v>
      </c>
      <c r="H12" s="12"/>
      <c r="I12" s="12">
        <v>30</v>
      </c>
      <c r="J12" s="12"/>
      <c r="K12" s="12">
        <v>30</v>
      </c>
      <c r="L12" s="12"/>
      <c r="M12" s="12">
        <v>30</v>
      </c>
      <c r="N12" s="12"/>
      <c r="O12" s="12">
        <v>30</v>
      </c>
      <c r="P12" s="12"/>
      <c r="Q12" s="12">
        <v>30</v>
      </c>
      <c r="R12" s="12"/>
      <c r="S12" s="12">
        <v>30</v>
      </c>
      <c r="T12" s="12"/>
      <c r="U12" s="12">
        <v>30</v>
      </c>
      <c r="V12" s="12"/>
      <c r="W12" s="12">
        <v>30</v>
      </c>
      <c r="X12" s="12"/>
      <c r="Y12" s="12">
        <v>30</v>
      </c>
      <c r="Z12" s="12"/>
      <c r="AA12" s="12">
        <f t="shared" ref="AA12:AA16" si="0">SUM(C12+E12+G12+I12+K12+M12+O12+Q12+S12+U12+W12+Y12)</f>
        <v>360</v>
      </c>
      <c r="AB12" s="12">
        <f>+D12+F12+H12+J12+L12+N12+P12+R12+T12+V12+X12+Z12</f>
        <v>0</v>
      </c>
      <c r="AC12"/>
    </row>
    <row r="13" spans="1:29">
      <c r="A13" s="5" t="s">
        <v>259</v>
      </c>
      <c r="B13" s="18" t="s">
        <v>55</v>
      </c>
      <c r="C13" s="12">
        <v>15</v>
      </c>
      <c r="D13" s="12"/>
      <c r="E13" s="12">
        <v>15</v>
      </c>
      <c r="F13" s="12"/>
      <c r="G13" s="12">
        <v>15</v>
      </c>
      <c r="H13" s="12"/>
      <c r="I13" s="12">
        <v>15</v>
      </c>
      <c r="J13" s="12"/>
      <c r="K13" s="12">
        <v>15</v>
      </c>
      <c r="L13" s="12"/>
      <c r="M13" s="12">
        <v>15</v>
      </c>
      <c r="N13" s="12"/>
      <c r="O13" s="12">
        <v>15</v>
      </c>
      <c r="P13" s="12"/>
      <c r="Q13" s="12">
        <v>15</v>
      </c>
      <c r="R13" s="12"/>
      <c r="S13" s="12">
        <v>15</v>
      </c>
      <c r="T13" s="12"/>
      <c r="U13" s="12">
        <v>15</v>
      </c>
      <c r="V13" s="12"/>
      <c r="W13" s="12">
        <v>15</v>
      </c>
      <c r="X13" s="12"/>
      <c r="Y13" s="12">
        <v>15</v>
      </c>
      <c r="Z13" s="12"/>
      <c r="AA13" s="12">
        <f t="shared" si="0"/>
        <v>180</v>
      </c>
      <c r="AB13" s="12">
        <f t="shared" ref="AB13:AB16" si="1">+D13+F13+H13+J13+L13+N13+P13+R13+T13+V13+X13+Z13</f>
        <v>0</v>
      </c>
      <c r="AC13"/>
    </row>
    <row r="14" spans="1:29">
      <c r="A14" s="5" t="s">
        <v>260</v>
      </c>
      <c r="B14" s="18" t="s">
        <v>286</v>
      </c>
      <c r="C14" s="12">
        <v>3</v>
      </c>
      <c r="D14" s="12"/>
      <c r="E14" s="12">
        <v>3</v>
      </c>
      <c r="F14" s="12"/>
      <c r="G14" s="12">
        <v>2</v>
      </c>
      <c r="H14" s="12"/>
      <c r="I14" s="12">
        <v>2</v>
      </c>
      <c r="J14" s="12"/>
      <c r="K14" s="12">
        <v>2</v>
      </c>
      <c r="L14" s="12"/>
      <c r="M14" s="12">
        <v>3</v>
      </c>
      <c r="N14" s="12"/>
      <c r="O14" s="12">
        <v>1</v>
      </c>
      <c r="P14" s="12"/>
      <c r="Q14" s="12">
        <v>2</v>
      </c>
      <c r="R14" s="12"/>
      <c r="S14" s="12">
        <v>4</v>
      </c>
      <c r="T14" s="12"/>
      <c r="U14" s="12">
        <v>5</v>
      </c>
      <c r="V14" s="12"/>
      <c r="W14" s="12">
        <v>5</v>
      </c>
      <c r="X14" s="12"/>
      <c r="Y14" s="12">
        <v>4</v>
      </c>
      <c r="Z14" s="12"/>
      <c r="AA14" s="12">
        <f t="shared" si="0"/>
        <v>36</v>
      </c>
      <c r="AB14" s="12">
        <f t="shared" si="1"/>
        <v>0</v>
      </c>
      <c r="AC14"/>
    </row>
    <row r="15" spans="1:29">
      <c r="A15" s="5" t="s">
        <v>288</v>
      </c>
      <c r="B15" s="18" t="s">
        <v>289</v>
      </c>
      <c r="C15" s="12">
        <v>0</v>
      </c>
      <c r="D15" s="12"/>
      <c r="E15" s="12">
        <v>0</v>
      </c>
      <c r="F15" s="12"/>
      <c r="G15" s="12">
        <v>0</v>
      </c>
      <c r="H15" s="12"/>
      <c r="I15" s="12">
        <v>0</v>
      </c>
      <c r="J15" s="12"/>
      <c r="K15" s="12">
        <v>0</v>
      </c>
      <c r="L15" s="12"/>
      <c r="M15" s="12">
        <v>0</v>
      </c>
      <c r="N15" s="12"/>
      <c r="O15" s="12">
        <v>0</v>
      </c>
      <c r="P15" s="12"/>
      <c r="Q15" s="12">
        <v>0</v>
      </c>
      <c r="R15" s="12"/>
      <c r="S15" s="12">
        <v>0</v>
      </c>
      <c r="T15" s="12"/>
      <c r="U15" s="12">
        <v>0</v>
      </c>
      <c r="V15" s="12"/>
      <c r="W15" s="12">
        <v>0</v>
      </c>
      <c r="X15" s="12"/>
      <c r="Y15" s="12">
        <v>0</v>
      </c>
      <c r="Z15" s="12"/>
      <c r="AA15" s="12">
        <f t="shared" si="0"/>
        <v>0</v>
      </c>
      <c r="AB15" s="12">
        <f t="shared" si="1"/>
        <v>0</v>
      </c>
      <c r="AC15"/>
    </row>
    <row r="16" spans="1:29">
      <c r="A16" s="5" t="s">
        <v>350</v>
      </c>
      <c r="B16" s="18" t="s">
        <v>351</v>
      </c>
      <c r="C16" s="12">
        <v>1</v>
      </c>
      <c r="D16" s="12"/>
      <c r="E16" s="12">
        <v>1</v>
      </c>
      <c r="F16" s="12"/>
      <c r="G16" s="12">
        <v>1</v>
      </c>
      <c r="H16" s="12"/>
      <c r="I16" s="12">
        <v>2</v>
      </c>
      <c r="J16" s="12"/>
      <c r="K16" s="12">
        <v>2</v>
      </c>
      <c r="L16" s="12"/>
      <c r="M16" s="12">
        <v>2</v>
      </c>
      <c r="N16" s="12"/>
      <c r="O16" s="12">
        <v>2</v>
      </c>
      <c r="P16" s="12"/>
      <c r="Q16" s="12">
        <v>2</v>
      </c>
      <c r="R16" s="12"/>
      <c r="S16" s="12">
        <v>2</v>
      </c>
      <c r="T16" s="12"/>
      <c r="U16" s="12">
        <v>3</v>
      </c>
      <c r="V16" s="12"/>
      <c r="W16" s="12">
        <v>2</v>
      </c>
      <c r="X16" s="12"/>
      <c r="Y16" s="12">
        <v>1</v>
      </c>
      <c r="Z16" s="12"/>
      <c r="AA16" s="12">
        <f t="shared" si="0"/>
        <v>21</v>
      </c>
      <c r="AB16" s="12">
        <f t="shared" si="1"/>
        <v>0</v>
      </c>
      <c r="AC16"/>
    </row>
    <row r="17" spans="1:25" s="13" customFormat="1">
      <c r="A17" s="1"/>
      <c r="B17" s="1"/>
    </row>
    <row r="18" spans="1:25" s="13" customFormat="1" hidden="1">
      <c r="A18" s="1"/>
      <c r="B18" s="13" t="s">
        <v>349</v>
      </c>
      <c r="C18" s="13">
        <v>0</v>
      </c>
      <c r="E18" s="13">
        <v>0</v>
      </c>
      <c r="G18" s="13">
        <v>0</v>
      </c>
      <c r="I18" s="13">
        <v>0</v>
      </c>
      <c r="K18" s="13">
        <v>0</v>
      </c>
      <c r="M18" s="13">
        <v>0</v>
      </c>
      <c r="O18" s="13">
        <v>0</v>
      </c>
      <c r="Q18" s="13">
        <v>0</v>
      </c>
      <c r="S18" s="13">
        <v>0</v>
      </c>
      <c r="U18" s="13">
        <v>0</v>
      </c>
      <c r="W18" s="13">
        <v>0</v>
      </c>
      <c r="Y18" s="13">
        <v>0</v>
      </c>
    </row>
    <row r="19" spans="1:25" hidden="1">
      <c r="B19" s="13" t="s">
        <v>313</v>
      </c>
      <c r="C19" s="13">
        <v>1</v>
      </c>
      <c r="E19" s="13">
        <v>3</v>
      </c>
      <c r="G19" s="13">
        <v>3</v>
      </c>
      <c r="I19" s="13">
        <v>3</v>
      </c>
      <c r="K19" s="13">
        <v>2</v>
      </c>
      <c r="M19" s="13">
        <v>1</v>
      </c>
      <c r="O19" s="13">
        <v>3</v>
      </c>
      <c r="Q19" s="13">
        <v>1</v>
      </c>
      <c r="S19" s="13">
        <v>5</v>
      </c>
      <c r="U19" s="13">
        <v>1</v>
      </c>
      <c r="W19" s="13">
        <v>1</v>
      </c>
      <c r="Y19" s="13">
        <v>4</v>
      </c>
    </row>
    <row r="20" spans="1:25" hidden="1">
      <c r="B20" s="13" t="s">
        <v>314</v>
      </c>
      <c r="C20" s="13">
        <v>2</v>
      </c>
      <c r="E20" s="13">
        <v>2</v>
      </c>
      <c r="G20" s="13">
        <v>2</v>
      </c>
      <c r="I20" s="13">
        <v>3</v>
      </c>
      <c r="K20" s="13">
        <v>0</v>
      </c>
      <c r="M20" s="13">
        <v>0</v>
      </c>
      <c r="O20" s="13">
        <v>0</v>
      </c>
      <c r="Q20" s="13">
        <v>3</v>
      </c>
      <c r="S20" s="13">
        <v>1</v>
      </c>
      <c r="U20" s="13">
        <v>0</v>
      </c>
      <c r="W20" s="13">
        <v>2</v>
      </c>
      <c r="Y20" s="13">
        <v>2</v>
      </c>
    </row>
    <row r="21" spans="1:25" hidden="1">
      <c r="B21" s="13" t="s">
        <v>352</v>
      </c>
      <c r="C21" s="13">
        <v>0</v>
      </c>
      <c r="E21" s="13">
        <v>0</v>
      </c>
      <c r="G21" s="13">
        <v>0</v>
      </c>
      <c r="I21" s="13">
        <v>1</v>
      </c>
      <c r="K21" s="13">
        <v>1</v>
      </c>
      <c r="M21" s="13">
        <v>1</v>
      </c>
      <c r="O21" s="13">
        <v>1</v>
      </c>
      <c r="Q21" s="13">
        <v>0</v>
      </c>
      <c r="S21" s="13">
        <v>0</v>
      </c>
      <c r="U21" s="13">
        <v>0</v>
      </c>
      <c r="W21" s="13">
        <v>0</v>
      </c>
      <c r="Y21" s="13">
        <v>0</v>
      </c>
    </row>
    <row r="23" spans="1:25">
      <c r="A23" s="1"/>
    </row>
  </sheetData>
  <mergeCells count="20">
    <mergeCell ref="A10:A11"/>
    <mergeCell ref="B10:B11"/>
    <mergeCell ref="C10:D10"/>
    <mergeCell ref="E10:F10"/>
    <mergeCell ref="G10:H10"/>
    <mergeCell ref="G1:N2"/>
    <mergeCell ref="G3:N4"/>
    <mergeCell ref="F5:K5"/>
    <mergeCell ref="I6:K6"/>
    <mergeCell ref="C8:Z9"/>
    <mergeCell ref="U10:V10"/>
    <mergeCell ref="W10:X10"/>
    <mergeCell ref="Y10:Z10"/>
    <mergeCell ref="AA10:AB10"/>
    <mergeCell ref="I10:J10"/>
    <mergeCell ref="K10:L10"/>
    <mergeCell ref="M10:N10"/>
    <mergeCell ref="O10:P10"/>
    <mergeCell ref="Q10:R10"/>
    <mergeCell ref="S10:T10"/>
  </mergeCells>
  <conditionalFormatting sqref="B12:B16">
    <cfRule type="cellIs" dxfId="28" priority="1" operator="equal">
      <formula>"ABC"</formula>
    </cfRule>
    <cfRule type="cellIs" dxfId="27" priority="2" operator="equal">
      <formula>"RP"</formula>
    </cfRule>
    <cfRule type="cellIs" dxfId="26" priority="3" operator="equal">
      <formula>"RG"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  <pageSetUpPr fitToPage="1"/>
  </sheetPr>
  <dimension ref="A1:V20"/>
  <sheetViews>
    <sheetView showGridLines="0" zoomScale="90" zoomScaleNormal="90" workbookViewId="0">
      <selection activeCell="F9" sqref="F9"/>
    </sheetView>
  </sheetViews>
  <sheetFormatPr baseColWidth="10" defaultColWidth="11.42578125" defaultRowHeight="15"/>
  <cols>
    <col min="1" max="1" width="13.42578125" style="13" customWidth="1"/>
    <col min="2" max="19" width="10.7109375" style="13" customWidth="1"/>
    <col min="20" max="16384" width="11.42578125" style="13"/>
  </cols>
  <sheetData>
    <row r="1" spans="1:22" ht="15" customHeight="1">
      <c r="F1" s="16"/>
      <c r="G1" s="129" t="s">
        <v>243</v>
      </c>
      <c r="H1" s="129"/>
      <c r="I1" s="129"/>
      <c r="J1" s="129"/>
      <c r="K1" s="129"/>
      <c r="L1" s="3"/>
      <c r="M1" s="3"/>
      <c r="N1" s="3"/>
    </row>
    <row r="2" spans="1:22" ht="15" customHeight="1">
      <c r="F2" s="23"/>
      <c r="G2" s="129"/>
      <c r="H2" s="129"/>
      <c r="I2" s="129"/>
      <c r="J2" s="129"/>
      <c r="K2" s="129"/>
      <c r="L2" s="3"/>
      <c r="M2" s="3"/>
      <c r="N2" s="3"/>
    </row>
    <row r="3" spans="1:22" ht="15" customHeight="1">
      <c r="F3" s="16"/>
      <c r="G3" s="129" t="str">
        <f>'LGR CCEE'!G3:K3</f>
        <v>Plan de Mantenimiento Preventivo Año: 2026</v>
      </c>
      <c r="H3" s="129"/>
      <c r="I3" s="129"/>
      <c r="J3" s="129"/>
      <c r="K3" s="129"/>
      <c r="L3" s="3"/>
      <c r="M3" s="3"/>
      <c r="N3" s="3"/>
    </row>
    <row r="4" spans="1:22" ht="15" customHeight="1">
      <c r="F4" s="16"/>
      <c r="G4" s="129" t="s">
        <v>459</v>
      </c>
      <c r="H4" s="129"/>
      <c r="I4" s="129"/>
      <c r="J4" s="129"/>
      <c r="K4" s="129"/>
      <c r="L4" s="3"/>
      <c r="M4" s="3"/>
      <c r="N4" s="3"/>
    </row>
    <row r="5" spans="1:22">
      <c r="E5" s="128" t="s">
        <v>16</v>
      </c>
      <c r="F5" s="128"/>
      <c r="G5" s="128" t="s">
        <v>18</v>
      </c>
      <c r="H5" s="128"/>
      <c r="I5" s="51"/>
    </row>
    <row r="6" spans="1:22">
      <c r="E6" s="128" t="s">
        <v>17</v>
      </c>
      <c r="F6" s="128"/>
      <c r="G6" s="129" t="s">
        <v>135</v>
      </c>
      <c r="H6" s="129"/>
    </row>
    <row r="7" spans="1:22">
      <c r="B7" s="13" t="s">
        <v>343</v>
      </c>
      <c r="C7" s="13">
        <v>1700</v>
      </c>
    </row>
    <row r="8" spans="1:22" customFormat="1">
      <c r="A8" s="136" t="str">
        <f>'LGR CCRR CNR'!A8</f>
        <v>Km. al: 30/09/2025</v>
      </c>
      <c r="B8" s="137"/>
      <c r="C8" s="130" t="s">
        <v>40</v>
      </c>
      <c r="D8" s="130"/>
      <c r="E8" s="131" t="s">
        <v>41</v>
      </c>
      <c r="F8" s="131"/>
      <c r="G8" s="131"/>
      <c r="H8" s="132" t="str">
        <f>'LGR CCRR CNR'!H8:S8</f>
        <v>AÑO 2026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spans="1:22">
      <c r="A9" s="33" t="s">
        <v>38</v>
      </c>
      <c r="B9" s="34" t="s">
        <v>36</v>
      </c>
      <c r="C9" s="34" t="s">
        <v>1</v>
      </c>
      <c r="D9" s="34" t="s">
        <v>2</v>
      </c>
      <c r="E9" s="34" t="s">
        <v>1</v>
      </c>
      <c r="F9" s="34" t="s">
        <v>3</v>
      </c>
      <c r="G9" s="34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</row>
    <row r="10" spans="1:22">
      <c r="A10" s="37" t="s">
        <v>155</v>
      </c>
      <c r="B10" s="37">
        <v>105</v>
      </c>
      <c r="C10" s="29">
        <v>252631</v>
      </c>
      <c r="D10" s="30">
        <v>39136</v>
      </c>
      <c r="E10" s="29">
        <v>4014</v>
      </c>
      <c r="F10" s="31" t="s">
        <v>334</v>
      </c>
      <c r="G10" s="32">
        <v>45889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U10" s="13" t="s">
        <v>324</v>
      </c>
    </row>
    <row r="11" spans="1:22">
      <c r="A11" s="37" t="s">
        <v>155</v>
      </c>
      <c r="B11" s="37">
        <v>106</v>
      </c>
      <c r="C11" s="29">
        <v>271746.09999999998</v>
      </c>
      <c r="D11" s="30">
        <v>39136</v>
      </c>
      <c r="E11" s="29">
        <v>0</v>
      </c>
      <c r="F11" s="31" t="s">
        <v>324</v>
      </c>
      <c r="G11" s="32">
        <v>45930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3" t="s">
        <v>324</v>
      </c>
      <c r="V11" s="13" t="s">
        <v>334</v>
      </c>
    </row>
    <row r="12" spans="1:22">
      <c r="A12" s="68"/>
      <c r="B12" s="68"/>
      <c r="C12" s="69"/>
      <c r="D12" s="70"/>
      <c r="E12" s="69"/>
      <c r="F12" s="71"/>
      <c r="J12" s="83"/>
      <c r="M12" s="83"/>
      <c r="P12" s="83"/>
      <c r="S12" s="83"/>
      <c r="U12" s="83"/>
    </row>
    <row r="13" spans="1:22">
      <c r="A13" s="1"/>
      <c r="B13" s="1"/>
      <c r="G13" s="2" t="s">
        <v>324</v>
      </c>
      <c r="H13" s="13">
        <f t="shared" ref="H13:S13" si="0">COUNTIF(H10:H11,"MEN")</f>
        <v>0</v>
      </c>
      <c r="I13" s="13">
        <f t="shared" si="0"/>
        <v>0</v>
      </c>
      <c r="J13" s="13">
        <f t="shared" si="0"/>
        <v>0</v>
      </c>
      <c r="K13" s="13">
        <f t="shared" si="0"/>
        <v>0</v>
      </c>
      <c r="L13" s="13">
        <f t="shared" si="0"/>
        <v>0</v>
      </c>
      <c r="M13" s="13">
        <f t="shared" si="0"/>
        <v>0</v>
      </c>
      <c r="N13" s="13">
        <f t="shared" si="0"/>
        <v>0</v>
      </c>
      <c r="O13" s="13">
        <f t="shared" si="0"/>
        <v>0</v>
      </c>
      <c r="P13" s="13">
        <f t="shared" si="0"/>
        <v>0</v>
      </c>
      <c r="Q13" s="13">
        <f t="shared" si="0"/>
        <v>0</v>
      </c>
      <c r="R13" s="13">
        <f t="shared" si="0"/>
        <v>0</v>
      </c>
      <c r="S13" s="13">
        <f t="shared" si="0"/>
        <v>0</v>
      </c>
      <c r="T13" s="2">
        <f>SUM(H13:S13)</f>
        <v>0</v>
      </c>
    </row>
    <row r="14" spans="1:22">
      <c r="A14" s="5" t="s">
        <v>344</v>
      </c>
      <c r="B14" s="18" t="s">
        <v>298</v>
      </c>
      <c r="G14" s="2" t="s">
        <v>334</v>
      </c>
      <c r="H14" s="13">
        <f t="shared" ref="H14:S14" si="1">COUNTIF(H10:H11,"SEM")</f>
        <v>0</v>
      </c>
      <c r="I14" s="13">
        <f t="shared" si="1"/>
        <v>0</v>
      </c>
      <c r="J14" s="13">
        <f t="shared" si="1"/>
        <v>0</v>
      </c>
      <c r="K14" s="13">
        <f t="shared" si="1"/>
        <v>0</v>
      </c>
      <c r="L14" s="13">
        <f t="shared" si="1"/>
        <v>0</v>
      </c>
      <c r="M14" s="13">
        <f t="shared" si="1"/>
        <v>0</v>
      </c>
      <c r="N14" s="13">
        <f t="shared" si="1"/>
        <v>0</v>
      </c>
      <c r="O14" s="13">
        <f t="shared" si="1"/>
        <v>0</v>
      </c>
      <c r="P14" s="13">
        <f t="shared" si="1"/>
        <v>0</v>
      </c>
      <c r="Q14" s="13">
        <f t="shared" si="1"/>
        <v>0</v>
      </c>
      <c r="R14" s="13">
        <f t="shared" si="1"/>
        <v>0</v>
      </c>
      <c r="S14" s="13">
        <f t="shared" si="1"/>
        <v>0</v>
      </c>
      <c r="T14" s="2">
        <f t="shared" ref="T14:T15" si="2">SUM(H14:S14)</f>
        <v>0</v>
      </c>
    </row>
    <row r="15" spans="1:22">
      <c r="A15" s="5" t="s">
        <v>345</v>
      </c>
      <c r="B15" s="18" t="s">
        <v>300</v>
      </c>
      <c r="G15" s="2" t="s">
        <v>312</v>
      </c>
      <c r="H15" s="13">
        <f t="shared" ref="H15:S15" si="3">COUNTIF(H10:H11,"RP")</f>
        <v>0</v>
      </c>
      <c r="I15" s="13">
        <f t="shared" si="3"/>
        <v>0</v>
      </c>
      <c r="J15" s="13">
        <f t="shared" si="3"/>
        <v>0</v>
      </c>
      <c r="K15" s="13">
        <f t="shared" si="3"/>
        <v>0</v>
      </c>
      <c r="L15" s="13">
        <f t="shared" si="3"/>
        <v>0</v>
      </c>
      <c r="M15" s="13">
        <f t="shared" si="3"/>
        <v>0</v>
      </c>
      <c r="N15" s="13">
        <f t="shared" si="3"/>
        <v>0</v>
      </c>
      <c r="O15" s="13">
        <f t="shared" si="3"/>
        <v>0</v>
      </c>
      <c r="P15" s="13">
        <f t="shared" si="3"/>
        <v>0</v>
      </c>
      <c r="Q15" s="13">
        <f t="shared" si="3"/>
        <v>0</v>
      </c>
      <c r="R15" s="13">
        <f t="shared" si="3"/>
        <v>0</v>
      </c>
      <c r="S15" s="13">
        <f t="shared" si="3"/>
        <v>0</v>
      </c>
      <c r="T15" s="2">
        <f t="shared" si="2"/>
        <v>0</v>
      </c>
    </row>
    <row r="16" spans="1:22">
      <c r="A16" s="7"/>
      <c r="B16" s="7"/>
      <c r="C16" s="3"/>
      <c r="D16" s="3"/>
    </row>
    <row r="17" spans="1:2">
      <c r="A17" s="8"/>
      <c r="B17" s="8"/>
    </row>
    <row r="18" spans="1:2">
      <c r="A18" s="7"/>
      <c r="B18" s="7"/>
    </row>
    <row r="19" spans="1:2">
      <c r="A19" s="1"/>
      <c r="B19" s="1"/>
    </row>
    <row r="20" spans="1:2">
      <c r="A20" s="1"/>
      <c r="B20" s="1"/>
    </row>
  </sheetData>
  <mergeCells count="11">
    <mergeCell ref="A8:B8"/>
    <mergeCell ref="C8:D8"/>
    <mergeCell ref="E8:G8"/>
    <mergeCell ref="H8:S8"/>
    <mergeCell ref="G1:K2"/>
    <mergeCell ref="G3:K3"/>
    <mergeCell ref="G4:K4"/>
    <mergeCell ref="E5:F5"/>
    <mergeCell ref="G5:H5"/>
    <mergeCell ref="E6:F6"/>
    <mergeCell ref="G6:H6"/>
  </mergeCells>
  <conditionalFormatting sqref="B14:B15">
    <cfRule type="cellIs" dxfId="25" priority="4" operator="equal">
      <formula>"ABC"</formula>
    </cfRule>
    <cfRule type="cellIs" dxfId="24" priority="5" operator="equal">
      <formula>"RP"</formula>
    </cfRule>
    <cfRule type="cellIs" dxfId="23" priority="6" operator="equal">
      <formula>"RG"</formula>
    </cfRule>
  </conditionalFormatting>
  <conditionalFormatting sqref="H10:S11">
    <cfRule type="cellIs" dxfId="22" priority="1" operator="equal">
      <formula>"RP"</formula>
    </cfRule>
    <cfRule type="cellIs" dxfId="21" priority="2" operator="equal">
      <formula>"SEM"</formula>
    </cfRule>
    <cfRule type="cellIs" dxfId="20" priority="3" operator="equal">
      <formula>"MEN"</formula>
    </cfRule>
  </conditionalFormatting>
  <pageMargins left="0.27559055118110237" right="0.23622047244094491" top="0.74803149606299213" bottom="0.74803149606299213" header="0.31496062992125984" footer="0.31496062992125984"/>
  <pageSetup paperSize="9" scale="6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  <pageSetUpPr fitToPage="1"/>
  </sheetPr>
  <dimension ref="A1:AD19"/>
  <sheetViews>
    <sheetView showGridLines="0" zoomScale="90" zoomScaleNormal="90" workbookViewId="0"/>
  </sheetViews>
  <sheetFormatPr baseColWidth="10" defaultRowHeight="15"/>
  <cols>
    <col min="1" max="1" width="15.7109375" style="13" customWidth="1"/>
    <col min="2" max="2" width="10.7109375" style="13" customWidth="1"/>
    <col min="3" max="30" width="6.7109375" style="13" customWidth="1"/>
  </cols>
  <sheetData>
    <row r="1" spans="1:30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30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30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30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30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30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346</v>
      </c>
      <c r="M6" s="3"/>
      <c r="N6" s="3"/>
    </row>
    <row r="7" spans="1:30">
      <c r="A7" s="3"/>
      <c r="B7" s="3"/>
      <c r="C7" s="3"/>
      <c r="D7" s="3"/>
      <c r="E7" s="3"/>
    </row>
    <row r="8" spans="1:30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30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30">
      <c r="A10" s="133" t="s">
        <v>34</v>
      </c>
      <c r="B10" s="130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  <c r="AC10"/>
      <c r="AD10"/>
    </row>
    <row r="11" spans="1:30">
      <c r="A11" s="133"/>
      <c r="B11" s="130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  <c r="AC11"/>
      <c r="AD11"/>
    </row>
    <row r="12" spans="1:30">
      <c r="A12" s="5" t="s">
        <v>258</v>
      </c>
      <c r="B12" s="18" t="s">
        <v>298</v>
      </c>
      <c r="C12" s="12">
        <v>0</v>
      </c>
      <c r="D12" s="12"/>
      <c r="E12" s="12">
        <v>1</v>
      </c>
      <c r="F12" s="12"/>
      <c r="G12" s="12">
        <v>0</v>
      </c>
      <c r="H12" s="12"/>
      <c r="I12" s="12">
        <v>0</v>
      </c>
      <c r="J12" s="12"/>
      <c r="K12" s="12">
        <v>1</v>
      </c>
      <c r="L12" s="12"/>
      <c r="M12" s="12">
        <v>0</v>
      </c>
      <c r="N12" s="12"/>
      <c r="O12" s="12">
        <v>1</v>
      </c>
      <c r="P12" s="12"/>
      <c r="Q12" s="12">
        <v>1</v>
      </c>
      <c r="R12" s="12"/>
      <c r="S12" s="12">
        <v>0</v>
      </c>
      <c r="T12" s="12"/>
      <c r="U12" s="12">
        <v>1</v>
      </c>
      <c r="V12" s="12"/>
      <c r="W12" s="12">
        <v>1</v>
      </c>
      <c r="X12" s="12"/>
      <c r="Y12" s="12">
        <v>0</v>
      </c>
      <c r="Z12" s="12"/>
      <c r="AA12" s="12">
        <f t="shared" ref="AA12:AA14" si="0">SUM(C12+E12+G12+I12+K12+M12+O12+Q12+S12+U12+W12+Y12)</f>
        <v>6</v>
      </c>
      <c r="AB12" s="12">
        <f>+D12+F12+H12+J12+L12+N12+P12+R12+T12+V12+X12+Z12</f>
        <v>0</v>
      </c>
      <c r="AC12"/>
      <c r="AD12"/>
    </row>
    <row r="13" spans="1:30">
      <c r="A13" s="5" t="s">
        <v>259</v>
      </c>
      <c r="B13" s="18" t="s">
        <v>300</v>
      </c>
      <c r="C13" s="12">
        <v>0</v>
      </c>
      <c r="D13" s="12"/>
      <c r="E13" s="12">
        <v>0</v>
      </c>
      <c r="F13" s="12"/>
      <c r="G13" s="12">
        <v>1</v>
      </c>
      <c r="H13" s="12"/>
      <c r="I13" s="12">
        <v>0</v>
      </c>
      <c r="J13" s="12"/>
      <c r="K13" s="12">
        <v>0</v>
      </c>
      <c r="L13" s="12"/>
      <c r="M13" s="12">
        <v>1</v>
      </c>
      <c r="N13" s="12"/>
      <c r="O13" s="12">
        <v>0</v>
      </c>
      <c r="P13" s="12"/>
      <c r="Q13" s="12">
        <v>0</v>
      </c>
      <c r="R13" s="12"/>
      <c r="S13" s="12">
        <v>1</v>
      </c>
      <c r="T13" s="12"/>
      <c r="U13" s="12">
        <v>0</v>
      </c>
      <c r="V13" s="12"/>
      <c r="W13" s="12">
        <v>0</v>
      </c>
      <c r="X13" s="12"/>
      <c r="Y13" s="12">
        <v>1</v>
      </c>
      <c r="Z13" s="12"/>
      <c r="AA13" s="12">
        <f t="shared" si="0"/>
        <v>4</v>
      </c>
      <c r="AB13" s="12">
        <f t="shared" ref="AB13:AB14" si="1">+D13+F13+H13+J13+L13+N13+P13+R13+T13+V13+X13+Z13</f>
        <v>0</v>
      </c>
      <c r="AC13"/>
      <c r="AD13"/>
    </row>
    <row r="14" spans="1:30">
      <c r="A14" s="5" t="s">
        <v>48</v>
      </c>
      <c r="B14" s="18" t="s">
        <v>299</v>
      </c>
      <c r="C14" s="12">
        <v>0</v>
      </c>
      <c r="D14" s="12"/>
      <c r="E14" s="12">
        <v>0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f t="shared" si="0"/>
        <v>0</v>
      </c>
      <c r="AB14" s="12">
        <f t="shared" si="1"/>
        <v>0</v>
      </c>
      <c r="AC14"/>
      <c r="AD14"/>
    </row>
    <row r="19" spans="1:2">
      <c r="A19" s="1"/>
      <c r="B19" s="1"/>
    </row>
  </sheetData>
  <mergeCells count="20">
    <mergeCell ref="U10:V10"/>
    <mergeCell ref="W10:X10"/>
    <mergeCell ref="Y10:Z10"/>
    <mergeCell ref="AA10:AB10"/>
    <mergeCell ref="I10:J10"/>
    <mergeCell ref="K10:L10"/>
    <mergeCell ref="M10:N10"/>
    <mergeCell ref="O10:P10"/>
    <mergeCell ref="Q10:R10"/>
    <mergeCell ref="S10:T10"/>
    <mergeCell ref="G1:N2"/>
    <mergeCell ref="G3:N4"/>
    <mergeCell ref="F5:K5"/>
    <mergeCell ref="I6:K6"/>
    <mergeCell ref="C8:Z9"/>
    <mergeCell ref="A10:A11"/>
    <mergeCell ref="B10:B11"/>
    <mergeCell ref="C10:D10"/>
    <mergeCell ref="E10:F10"/>
    <mergeCell ref="G10:H10"/>
  </mergeCells>
  <conditionalFormatting sqref="B12:B14">
    <cfRule type="cellIs" dxfId="19" priority="1" operator="equal">
      <formula>"ABC"</formula>
    </cfRule>
    <cfRule type="cellIs" dxfId="18" priority="2" operator="equal">
      <formula>"RP"</formula>
    </cfRule>
    <cfRule type="cellIs" dxfId="17" priority="3" operator="equal">
      <formula>"RG"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  <pageSetUpPr fitToPage="1"/>
  </sheetPr>
  <dimension ref="A1:T43"/>
  <sheetViews>
    <sheetView showGridLines="0" zoomScale="90" zoomScaleNormal="90" workbookViewId="0"/>
  </sheetViews>
  <sheetFormatPr baseColWidth="10" defaultColWidth="11.42578125" defaultRowHeight="15"/>
  <cols>
    <col min="1" max="1" width="19.28515625" style="13" bestFit="1" customWidth="1"/>
    <col min="2" max="2" width="10.7109375" style="13" customWidth="1"/>
    <col min="3" max="3" width="9.42578125" style="13" customWidth="1"/>
    <col min="4" max="4" width="10" style="13" bestFit="1" customWidth="1"/>
    <col min="5" max="5" width="9.42578125" style="13" customWidth="1"/>
    <col min="6" max="6" width="10.42578125" style="13" customWidth="1"/>
    <col min="7" max="7" width="22" style="13" bestFit="1" customWidth="1"/>
    <col min="8" max="19" width="10.5703125" style="13" customWidth="1"/>
    <col min="20" max="16384" width="11.42578125" style="13"/>
  </cols>
  <sheetData>
    <row r="1" spans="1:19" ht="15" customHeight="1">
      <c r="F1" s="16"/>
      <c r="G1" s="3" t="s">
        <v>347</v>
      </c>
    </row>
    <row r="2" spans="1:19" ht="15" customHeight="1">
      <c r="F2" s="23"/>
      <c r="G2" s="3"/>
    </row>
    <row r="3" spans="1:19" ht="15" customHeight="1">
      <c r="F3" s="16"/>
      <c r="G3" s="129" t="str">
        <f>'LGR CCEE'!G3:K3</f>
        <v>Plan de Mantenimiento Preventivo Año: 2026</v>
      </c>
      <c r="H3" s="129"/>
      <c r="I3" s="129"/>
      <c r="J3" s="129"/>
      <c r="K3" s="129"/>
    </row>
    <row r="4" spans="1:19" ht="15" customHeight="1">
      <c r="F4" s="16"/>
      <c r="G4" s="129" t="s">
        <v>353</v>
      </c>
      <c r="H4" s="129"/>
      <c r="I4" s="129"/>
      <c r="J4" s="129"/>
      <c r="K4" s="129"/>
    </row>
    <row r="5" spans="1:19">
      <c r="E5" s="128"/>
      <c r="F5" s="128"/>
      <c r="G5" s="51"/>
    </row>
    <row r="6" spans="1:19">
      <c r="E6" s="128" t="s">
        <v>17</v>
      </c>
      <c r="F6" s="128"/>
      <c r="G6" s="1" t="s">
        <v>354</v>
      </c>
    </row>
    <row r="7" spans="1:19">
      <c r="A7" s="13" t="s">
        <v>343</v>
      </c>
    </row>
    <row r="8" spans="1:19" customFormat="1">
      <c r="A8" s="87" t="str">
        <f>'LGR CCMM NOHAB'!A8:B8</f>
        <v>Km. al: 30/09/2025</v>
      </c>
      <c r="B8" s="47"/>
      <c r="C8" s="130" t="s">
        <v>40</v>
      </c>
      <c r="D8" s="130"/>
      <c r="E8" s="131" t="s">
        <v>41</v>
      </c>
      <c r="F8" s="131"/>
      <c r="G8" s="131"/>
      <c r="H8" s="132" t="str">
        <f>'LGR CCMM NOHAB'!H8:S8</f>
        <v>AÑO 2026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spans="1:19">
      <c r="A9" s="33" t="s">
        <v>38</v>
      </c>
      <c r="B9" s="34" t="s">
        <v>36</v>
      </c>
      <c r="C9" s="34" t="s">
        <v>1</v>
      </c>
      <c r="D9" s="34" t="s">
        <v>2</v>
      </c>
      <c r="E9" s="34" t="s">
        <v>1</v>
      </c>
      <c r="F9" s="34" t="s">
        <v>3</v>
      </c>
      <c r="G9" s="34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</row>
    <row r="10" spans="1:19">
      <c r="A10" s="37" t="s">
        <v>357</v>
      </c>
      <c r="B10" s="79">
        <v>455881</v>
      </c>
      <c r="C10" s="29"/>
      <c r="D10" s="30" t="s">
        <v>323</v>
      </c>
      <c r="E10" s="29" t="s">
        <v>323</v>
      </c>
      <c r="F10" s="31" t="s">
        <v>381</v>
      </c>
      <c r="G10" s="32">
        <v>45804</v>
      </c>
      <c r="H10" s="46"/>
      <c r="I10" s="46"/>
      <c r="J10" s="46"/>
      <c r="K10" s="46"/>
      <c r="L10" s="46" t="s">
        <v>360</v>
      </c>
      <c r="M10" s="46"/>
      <c r="N10" s="46"/>
      <c r="O10" s="46"/>
      <c r="P10" s="46"/>
      <c r="Q10" s="46"/>
      <c r="R10" s="46"/>
      <c r="S10" s="46"/>
    </row>
    <row r="11" spans="1:19">
      <c r="A11" s="37" t="s">
        <v>357</v>
      </c>
      <c r="B11" s="79">
        <v>456251</v>
      </c>
      <c r="C11" s="29"/>
      <c r="D11" s="30" t="s">
        <v>323</v>
      </c>
      <c r="E11" s="29" t="s">
        <v>323</v>
      </c>
      <c r="F11" s="31" t="s">
        <v>381</v>
      </c>
      <c r="G11" s="32">
        <v>45896</v>
      </c>
      <c r="H11" s="46"/>
      <c r="I11" s="46"/>
      <c r="J11" s="46" t="s">
        <v>304</v>
      </c>
      <c r="K11" s="46"/>
      <c r="L11" s="46"/>
      <c r="M11" s="46"/>
      <c r="N11" s="46"/>
      <c r="O11" s="46"/>
      <c r="P11" s="46"/>
      <c r="Q11" s="46"/>
      <c r="R11" s="46"/>
      <c r="S11" s="46"/>
    </row>
    <row r="12" spans="1:19">
      <c r="A12" s="37" t="s">
        <v>358</v>
      </c>
      <c r="B12" s="79">
        <v>529107</v>
      </c>
      <c r="C12" s="29"/>
      <c r="D12" s="30" t="s">
        <v>323</v>
      </c>
      <c r="E12" s="29" t="s">
        <v>323</v>
      </c>
      <c r="F12" s="31" t="s">
        <v>381</v>
      </c>
      <c r="G12" s="32">
        <v>45904</v>
      </c>
      <c r="H12" s="46"/>
      <c r="I12" s="46"/>
      <c r="J12" s="46"/>
      <c r="K12" s="46" t="s">
        <v>304</v>
      </c>
      <c r="L12" s="46"/>
      <c r="M12" s="46"/>
      <c r="N12" s="46"/>
      <c r="O12" s="46"/>
      <c r="P12" s="46"/>
      <c r="Q12" s="46"/>
      <c r="R12" s="46"/>
      <c r="S12" s="46"/>
    </row>
    <row r="13" spans="1:19">
      <c r="A13" s="37" t="s">
        <v>358</v>
      </c>
      <c r="B13" s="79">
        <v>792499</v>
      </c>
      <c r="C13" s="29"/>
      <c r="D13" s="30" t="s">
        <v>323</v>
      </c>
      <c r="E13" s="29" t="s">
        <v>323</v>
      </c>
      <c r="F13" s="31" t="s">
        <v>306</v>
      </c>
      <c r="G13" s="32">
        <v>45896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</row>
    <row r="14" spans="1:19">
      <c r="A14" s="37" t="s">
        <v>358</v>
      </c>
      <c r="B14" s="79">
        <v>947192</v>
      </c>
      <c r="C14" s="29"/>
      <c r="D14" s="30" t="s">
        <v>323</v>
      </c>
      <c r="E14" s="29" t="s">
        <v>323</v>
      </c>
      <c r="F14" s="31" t="s">
        <v>304</v>
      </c>
      <c r="G14" s="32">
        <v>45635</v>
      </c>
      <c r="H14" s="46"/>
      <c r="I14" s="46"/>
      <c r="J14" s="46"/>
      <c r="K14" s="46"/>
      <c r="L14" s="46"/>
      <c r="M14" s="46"/>
      <c r="N14" s="46"/>
      <c r="O14" s="46"/>
      <c r="P14" s="46" t="s">
        <v>381</v>
      </c>
      <c r="Q14" s="46"/>
      <c r="R14" s="46"/>
      <c r="S14" s="46"/>
    </row>
    <row r="15" spans="1:19">
      <c r="A15" s="37" t="s">
        <v>358</v>
      </c>
      <c r="B15" s="79">
        <v>947325</v>
      </c>
      <c r="C15" s="29"/>
      <c r="D15" s="30" t="s">
        <v>323</v>
      </c>
      <c r="E15" s="29" t="s">
        <v>323</v>
      </c>
      <c r="F15" s="31" t="s">
        <v>360</v>
      </c>
      <c r="G15" s="32">
        <v>45635</v>
      </c>
      <c r="H15" s="46"/>
      <c r="I15" s="46"/>
      <c r="J15" s="46"/>
      <c r="K15" s="46"/>
      <c r="L15" s="46"/>
      <c r="M15" s="46"/>
      <c r="N15" s="46"/>
      <c r="O15" s="46"/>
      <c r="P15" s="46" t="s">
        <v>381</v>
      </c>
      <c r="Q15" s="46"/>
      <c r="R15" s="46"/>
      <c r="S15" s="46"/>
    </row>
    <row r="16" spans="1:19">
      <c r="A16" s="37" t="s">
        <v>358</v>
      </c>
      <c r="B16" s="79">
        <v>947366</v>
      </c>
      <c r="C16" s="29"/>
      <c r="D16" s="30" t="s">
        <v>323</v>
      </c>
      <c r="E16" s="29" t="s">
        <v>323</v>
      </c>
      <c r="F16" s="31" t="s">
        <v>360</v>
      </c>
      <c r="G16" s="32">
        <v>45750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 t="s">
        <v>381</v>
      </c>
    </row>
    <row r="17" spans="1:20">
      <c r="A17" s="37" t="s">
        <v>358</v>
      </c>
      <c r="B17" s="79">
        <v>947457</v>
      </c>
      <c r="C17" s="29"/>
      <c r="D17" s="30" t="s">
        <v>323</v>
      </c>
      <c r="E17" s="29" t="s">
        <v>323</v>
      </c>
      <c r="F17" s="31" t="s">
        <v>360</v>
      </c>
      <c r="G17" s="32">
        <v>45669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 t="s">
        <v>381</v>
      </c>
    </row>
    <row r="18" spans="1:20">
      <c r="A18" s="37" t="s">
        <v>359</v>
      </c>
      <c r="B18" s="79">
        <v>977942</v>
      </c>
      <c r="C18" s="29"/>
      <c r="D18" s="30" t="s">
        <v>323</v>
      </c>
      <c r="E18" s="29" t="s">
        <v>323</v>
      </c>
      <c r="F18" s="31" t="s">
        <v>381</v>
      </c>
      <c r="G18" s="32">
        <v>45669</v>
      </c>
      <c r="H18" s="46"/>
      <c r="I18" s="46"/>
      <c r="J18" s="46"/>
      <c r="K18" s="46" t="s">
        <v>381</v>
      </c>
      <c r="L18" s="46"/>
      <c r="M18" s="46"/>
      <c r="N18" s="46"/>
      <c r="O18" s="46"/>
      <c r="P18" s="46"/>
      <c r="Q18" s="46"/>
      <c r="R18" s="46"/>
      <c r="S18" s="46"/>
    </row>
    <row r="19" spans="1:20">
      <c r="A19" s="37" t="s">
        <v>359</v>
      </c>
      <c r="B19" s="79">
        <v>978163</v>
      </c>
      <c r="C19" s="29"/>
      <c r="D19" s="30" t="s">
        <v>323</v>
      </c>
      <c r="E19" s="29" t="s">
        <v>323</v>
      </c>
      <c r="F19" s="31" t="s">
        <v>381</v>
      </c>
      <c r="G19" s="32">
        <v>45642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</row>
    <row r="20" spans="1:20">
      <c r="A20" s="37" t="s">
        <v>359</v>
      </c>
      <c r="B20" s="79">
        <v>979088</v>
      </c>
      <c r="C20" s="29"/>
      <c r="D20" s="30" t="s">
        <v>323</v>
      </c>
      <c r="E20" s="29" t="s">
        <v>323</v>
      </c>
      <c r="F20" s="31" t="s">
        <v>381</v>
      </c>
      <c r="G20" s="32">
        <v>45324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</row>
    <row r="21" spans="1:20">
      <c r="A21" s="37" t="s">
        <v>359</v>
      </c>
      <c r="B21" s="79">
        <v>979799</v>
      </c>
      <c r="C21" s="29"/>
      <c r="D21" s="30" t="s">
        <v>323</v>
      </c>
      <c r="E21" s="29" t="s">
        <v>323</v>
      </c>
      <c r="F21" s="31" t="s">
        <v>360</v>
      </c>
      <c r="G21" s="32">
        <v>45768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</row>
    <row r="22" spans="1:20">
      <c r="A22" s="37" t="s">
        <v>359</v>
      </c>
      <c r="B22" s="79">
        <v>980300</v>
      </c>
      <c r="C22" s="29"/>
      <c r="D22" s="30" t="s">
        <v>323</v>
      </c>
      <c r="E22" s="29" t="s">
        <v>323</v>
      </c>
      <c r="F22" s="31" t="s">
        <v>381</v>
      </c>
      <c r="G22" s="32">
        <v>45771</v>
      </c>
      <c r="H22" s="46"/>
      <c r="I22" s="46"/>
      <c r="J22" s="46"/>
      <c r="K22" s="46"/>
      <c r="L22" s="46"/>
      <c r="M22" s="46"/>
      <c r="N22" s="46"/>
      <c r="O22" s="46"/>
      <c r="P22" s="46"/>
      <c r="Q22" s="46" t="s">
        <v>381</v>
      </c>
      <c r="R22" s="46"/>
      <c r="S22" s="46"/>
    </row>
    <row r="23" spans="1:20">
      <c r="A23" s="37" t="s">
        <v>359</v>
      </c>
      <c r="B23" s="79">
        <v>980995</v>
      </c>
      <c r="C23" s="29"/>
      <c r="D23" s="30" t="s">
        <v>323</v>
      </c>
      <c r="E23" s="29" t="s">
        <v>323</v>
      </c>
      <c r="F23" s="31" t="s">
        <v>381</v>
      </c>
      <c r="G23" s="32">
        <v>45859</v>
      </c>
      <c r="H23" s="46"/>
      <c r="I23" s="46"/>
      <c r="J23" s="46"/>
      <c r="K23" s="46"/>
      <c r="L23" s="46"/>
      <c r="M23" s="46"/>
      <c r="N23" s="46"/>
      <c r="O23" s="46"/>
      <c r="P23" s="46"/>
      <c r="Q23" s="46" t="s">
        <v>381</v>
      </c>
      <c r="R23" s="46"/>
      <c r="S23" s="46"/>
    </row>
    <row r="24" spans="1:20">
      <c r="A24" s="37" t="s">
        <v>359</v>
      </c>
      <c r="B24" s="79">
        <v>981456</v>
      </c>
      <c r="C24" s="29"/>
      <c r="D24" s="30" t="s">
        <v>323</v>
      </c>
      <c r="E24" s="29" t="s">
        <v>323</v>
      </c>
      <c r="F24" s="31" t="s">
        <v>381</v>
      </c>
      <c r="G24" s="32">
        <v>45616</v>
      </c>
      <c r="H24" s="46"/>
      <c r="I24" s="46" t="s">
        <v>381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</row>
    <row r="25" spans="1:20">
      <c r="A25" s="37" t="s">
        <v>359</v>
      </c>
      <c r="B25" s="79">
        <v>981670</v>
      </c>
      <c r="C25" s="29"/>
      <c r="D25" s="30" t="s">
        <v>323</v>
      </c>
      <c r="E25" s="29" t="s">
        <v>323</v>
      </c>
      <c r="F25" s="31" t="s">
        <v>381</v>
      </c>
      <c r="G25" s="32">
        <v>45415</v>
      </c>
      <c r="H25" s="46"/>
      <c r="I25" s="46"/>
      <c r="J25" s="46"/>
      <c r="K25" s="46" t="s">
        <v>381</v>
      </c>
      <c r="L25" s="46"/>
      <c r="M25" s="46"/>
      <c r="N25" s="46"/>
      <c r="O25" s="46"/>
      <c r="P25" s="46"/>
      <c r="Q25" s="46"/>
      <c r="R25" s="46"/>
      <c r="S25" s="46"/>
    </row>
    <row r="26" spans="1:20">
      <c r="A26" s="37" t="s">
        <v>359</v>
      </c>
      <c r="B26" s="79">
        <v>981787</v>
      </c>
      <c r="C26" s="29"/>
      <c r="D26" s="30" t="s">
        <v>323</v>
      </c>
      <c r="E26" s="29" t="s">
        <v>323</v>
      </c>
      <c r="F26" s="31" t="s">
        <v>381</v>
      </c>
      <c r="G26" s="32">
        <v>45583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</row>
    <row r="27" spans="1:20">
      <c r="A27" s="37" t="s">
        <v>358</v>
      </c>
      <c r="B27" s="79" t="s">
        <v>355</v>
      </c>
      <c r="C27" s="29"/>
      <c r="D27" s="30" t="s">
        <v>323</v>
      </c>
      <c r="E27" s="29" t="s">
        <v>323</v>
      </c>
      <c r="F27" s="31" t="s">
        <v>360</v>
      </c>
      <c r="G27" s="32">
        <v>45540</v>
      </c>
      <c r="H27" s="46" t="s">
        <v>304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1:20">
      <c r="A28" s="37" t="s">
        <v>358</v>
      </c>
      <c r="B28" s="79" t="s">
        <v>356</v>
      </c>
      <c r="C28" s="29"/>
      <c r="D28" s="30" t="s">
        <v>323</v>
      </c>
      <c r="E28" s="29" t="s">
        <v>323</v>
      </c>
      <c r="F28" s="31" t="s">
        <v>360</v>
      </c>
      <c r="G28" s="32">
        <v>45532</v>
      </c>
      <c r="H28" s="46"/>
      <c r="I28" s="46" t="s">
        <v>304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1:20">
      <c r="A29" s="37"/>
      <c r="B29" s="79"/>
      <c r="C29" s="29"/>
      <c r="D29" s="30"/>
      <c r="E29" s="29"/>
      <c r="F29" s="31"/>
      <c r="G29" s="32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 spans="1:20">
      <c r="A30" s="37"/>
      <c r="B30" s="79"/>
      <c r="C30" s="29"/>
      <c r="D30" s="30"/>
      <c r="E30" s="29"/>
      <c r="F30" s="31"/>
      <c r="G30" s="32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</row>
    <row r="31" spans="1:20">
      <c r="A31" s="1"/>
      <c r="B31" s="1"/>
    </row>
    <row r="32" spans="1:20">
      <c r="A32" s="1"/>
      <c r="B32" s="1"/>
      <c r="G32" s="2" t="s">
        <v>365</v>
      </c>
      <c r="H32" s="2">
        <f>COUNTIF(H10:H30,"AL")</f>
        <v>0</v>
      </c>
      <c r="I32" s="2">
        <f t="shared" ref="I32:S32" si="0">COUNTIF(I10:I30,"AL")</f>
        <v>1</v>
      </c>
      <c r="J32" s="2">
        <f t="shared" si="0"/>
        <v>0</v>
      </c>
      <c r="K32" s="2">
        <f t="shared" si="0"/>
        <v>2</v>
      </c>
      <c r="L32" s="2">
        <f t="shared" si="0"/>
        <v>0</v>
      </c>
      <c r="M32" s="2">
        <f t="shared" si="0"/>
        <v>0</v>
      </c>
      <c r="N32" s="2">
        <f t="shared" si="0"/>
        <v>0</v>
      </c>
      <c r="O32" s="2">
        <f t="shared" si="0"/>
        <v>0</v>
      </c>
      <c r="P32" s="2">
        <f t="shared" si="0"/>
        <v>2</v>
      </c>
      <c r="Q32" s="2">
        <f t="shared" si="0"/>
        <v>2</v>
      </c>
      <c r="R32" s="2">
        <f t="shared" si="0"/>
        <v>0</v>
      </c>
      <c r="S32" s="2">
        <f t="shared" si="0"/>
        <v>2</v>
      </c>
      <c r="T32" s="13">
        <f>SUM(H32:S32)</f>
        <v>9</v>
      </c>
    </row>
    <row r="33" spans="1:20">
      <c r="A33" s="1"/>
      <c r="B33" s="1"/>
      <c r="G33" s="2" t="s">
        <v>360</v>
      </c>
      <c r="H33" s="2">
        <f>COUNTIF(H10:H30,"REV")</f>
        <v>0</v>
      </c>
      <c r="I33" s="2">
        <f t="shared" ref="I33:S33" si="1">COUNTIF(I10:I30,"REV")</f>
        <v>0</v>
      </c>
      <c r="J33" s="2">
        <f t="shared" si="1"/>
        <v>0</v>
      </c>
      <c r="K33" s="2">
        <f t="shared" si="1"/>
        <v>0</v>
      </c>
      <c r="L33" s="2">
        <f t="shared" si="1"/>
        <v>1</v>
      </c>
      <c r="M33" s="2">
        <f t="shared" si="1"/>
        <v>0</v>
      </c>
      <c r="N33" s="2">
        <f t="shared" si="1"/>
        <v>0</v>
      </c>
      <c r="O33" s="2">
        <f t="shared" si="1"/>
        <v>0</v>
      </c>
      <c r="P33" s="2">
        <f t="shared" si="1"/>
        <v>0</v>
      </c>
      <c r="Q33" s="2">
        <f t="shared" si="1"/>
        <v>0</v>
      </c>
      <c r="R33" s="2">
        <f t="shared" si="1"/>
        <v>0</v>
      </c>
      <c r="S33" s="2">
        <f t="shared" si="1"/>
        <v>0</v>
      </c>
      <c r="T33" s="13">
        <f>SUM(H33:S33)</f>
        <v>1</v>
      </c>
    </row>
    <row r="34" spans="1:20">
      <c r="A34" s="1"/>
      <c r="B34" s="1"/>
      <c r="G34" s="2" t="s">
        <v>338</v>
      </c>
      <c r="H34" s="2">
        <f>COUNTIF(H10:H30,"A")</f>
        <v>0</v>
      </c>
      <c r="I34" s="2">
        <f t="shared" ref="I34:S34" si="2">COUNTIF(I10:I30,"A")</f>
        <v>0</v>
      </c>
      <c r="J34" s="2">
        <f t="shared" si="2"/>
        <v>0</v>
      </c>
      <c r="K34" s="2">
        <f t="shared" si="2"/>
        <v>0</v>
      </c>
      <c r="L34" s="2">
        <f t="shared" si="2"/>
        <v>0</v>
      </c>
      <c r="M34" s="2">
        <f t="shared" si="2"/>
        <v>0</v>
      </c>
      <c r="N34" s="2">
        <f t="shared" si="2"/>
        <v>0</v>
      </c>
      <c r="O34" s="2">
        <f t="shared" si="2"/>
        <v>0</v>
      </c>
      <c r="P34" s="2">
        <f t="shared" si="2"/>
        <v>0</v>
      </c>
      <c r="Q34" s="2">
        <f t="shared" si="2"/>
        <v>0</v>
      </c>
      <c r="R34" s="2">
        <f t="shared" si="2"/>
        <v>0</v>
      </c>
      <c r="S34" s="2">
        <f t="shared" si="2"/>
        <v>0</v>
      </c>
      <c r="T34" s="13">
        <f>SUM(H34:S34)</f>
        <v>0</v>
      </c>
    </row>
    <row r="35" spans="1:20">
      <c r="A35" s="1"/>
      <c r="B35" s="1"/>
      <c r="G35" s="2" t="s">
        <v>339</v>
      </c>
      <c r="H35" s="2">
        <f t="shared" ref="H35:S35" si="3">COUNTIF(H10:H30,"B")</f>
        <v>1</v>
      </c>
      <c r="I35" s="2">
        <f t="shared" si="3"/>
        <v>1</v>
      </c>
      <c r="J35" s="2">
        <f t="shared" si="3"/>
        <v>1</v>
      </c>
      <c r="K35" s="2">
        <f t="shared" si="3"/>
        <v>1</v>
      </c>
      <c r="L35" s="2">
        <f t="shared" si="3"/>
        <v>0</v>
      </c>
      <c r="M35" s="2">
        <f t="shared" si="3"/>
        <v>0</v>
      </c>
      <c r="N35" s="2">
        <f t="shared" si="3"/>
        <v>0</v>
      </c>
      <c r="O35" s="2">
        <f t="shared" si="3"/>
        <v>0</v>
      </c>
      <c r="P35" s="2">
        <f t="shared" si="3"/>
        <v>0</v>
      </c>
      <c r="Q35" s="2">
        <f t="shared" si="3"/>
        <v>0</v>
      </c>
      <c r="R35" s="2">
        <f t="shared" si="3"/>
        <v>0</v>
      </c>
      <c r="S35" s="2">
        <f t="shared" si="3"/>
        <v>0</v>
      </c>
      <c r="T35" s="13">
        <f t="shared" ref="T35" si="4">SUM(H35:S35)</f>
        <v>4</v>
      </c>
    </row>
    <row r="36" spans="1:20">
      <c r="A36" s="8"/>
      <c r="B36" s="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20">
      <c r="A37" s="7"/>
      <c r="B37" s="7"/>
      <c r="C37" s="3"/>
      <c r="D37" s="3"/>
      <c r="E37" s="60"/>
      <c r="G37" s="13" t="s">
        <v>365</v>
      </c>
      <c r="H37" s="13" t="s">
        <v>366</v>
      </c>
    </row>
    <row r="38" spans="1:20">
      <c r="A38" s="7"/>
      <c r="B38" s="7"/>
      <c r="C38" s="3"/>
      <c r="D38" s="3"/>
      <c r="E38" s="60"/>
      <c r="G38" s="13" t="s">
        <v>360</v>
      </c>
      <c r="H38" s="13" t="s">
        <v>367</v>
      </c>
    </row>
    <row r="39" spans="1:20">
      <c r="A39" s="7"/>
      <c r="B39" s="7"/>
      <c r="C39" s="3"/>
      <c r="D39" s="3"/>
      <c r="E39" s="60"/>
      <c r="G39" s="13" t="s">
        <v>368</v>
      </c>
      <c r="H39" s="13" t="s">
        <v>369</v>
      </c>
    </row>
    <row r="40" spans="1:20">
      <c r="A40" s="7"/>
      <c r="B40" s="7"/>
      <c r="C40" s="3"/>
      <c r="D40" s="3"/>
      <c r="E40" s="60"/>
      <c r="G40" s="13" t="s">
        <v>370</v>
      </c>
      <c r="H40" s="13" t="s">
        <v>371</v>
      </c>
    </row>
    <row r="41" spans="1:20">
      <c r="A41" s="8"/>
      <c r="B41" s="8"/>
      <c r="H41" s="29" t="s">
        <v>381</v>
      </c>
      <c r="I41" s="29" t="s">
        <v>381</v>
      </c>
      <c r="J41" s="29" t="s">
        <v>360</v>
      </c>
      <c r="K41" s="29" t="s">
        <v>381</v>
      </c>
      <c r="L41" s="29" t="s">
        <v>381</v>
      </c>
      <c r="M41" s="29" t="s">
        <v>306</v>
      </c>
      <c r="N41" s="29" t="s">
        <v>381</v>
      </c>
      <c r="O41" s="29" t="s">
        <v>381</v>
      </c>
      <c r="P41" s="29" t="s">
        <v>360</v>
      </c>
      <c r="Q41" s="29" t="s">
        <v>381</v>
      </c>
      <c r="R41" s="29" t="s">
        <v>381</v>
      </c>
      <c r="S41" s="29" t="s">
        <v>304</v>
      </c>
    </row>
    <row r="42" spans="1:20">
      <c r="A42" s="7"/>
      <c r="B42" s="7"/>
      <c r="G42" s="13" t="s">
        <v>460</v>
      </c>
      <c r="H42" s="13">
        <v>1</v>
      </c>
      <c r="I42" s="13">
        <v>2</v>
      </c>
      <c r="J42" s="13">
        <v>3</v>
      </c>
      <c r="K42" s="13">
        <v>4</v>
      </c>
      <c r="L42" s="13">
        <v>5</v>
      </c>
      <c r="M42" s="13">
        <v>6</v>
      </c>
      <c r="N42" s="13">
        <v>7</v>
      </c>
      <c r="O42" s="13">
        <v>8</v>
      </c>
      <c r="P42" s="13">
        <v>9</v>
      </c>
      <c r="Q42" s="13">
        <v>10</v>
      </c>
      <c r="R42" s="13">
        <v>11</v>
      </c>
      <c r="S42" s="13">
        <v>12</v>
      </c>
    </row>
    <row r="43" spans="1:20">
      <c r="A43" s="1"/>
      <c r="B43" s="1"/>
    </row>
  </sheetData>
  <autoFilter ref="A9:S28" xr:uid="{00000000-0009-0000-0000-00000E000000}">
    <sortState xmlns:xlrd2="http://schemas.microsoft.com/office/spreadsheetml/2017/richdata2" ref="A10:S28">
      <sortCondition ref="B9:B28"/>
    </sortState>
  </autoFilter>
  <mergeCells count="7">
    <mergeCell ref="G3:K3"/>
    <mergeCell ref="G4:K4"/>
    <mergeCell ref="E5:F5"/>
    <mergeCell ref="E6:F6"/>
    <mergeCell ref="C8:D8"/>
    <mergeCell ref="E8:G8"/>
    <mergeCell ref="H8:S8"/>
  </mergeCells>
  <conditionalFormatting sqref="H10:S41">
    <cfRule type="cellIs" dxfId="16" priority="1" operator="equal">
      <formula>"B"</formula>
    </cfRule>
    <cfRule type="cellIs" dxfId="15" priority="2" operator="equal">
      <formula>"A"</formula>
    </cfRule>
    <cfRule type="cellIs" dxfId="14" priority="3" operator="equal">
      <formula>"REV"</formula>
    </cfRule>
    <cfRule type="cellIs" dxfId="13" priority="4" operator="equal">
      <formula>"AL"</formula>
    </cfRule>
  </conditionalFormatting>
  <pageMargins left="0.27559055118110237" right="0.23622047244094491" top="0.74803149606299213" bottom="0.74803149606299213" header="0.31496062992125984" footer="0.31496062992125984"/>
  <pageSetup paperSize="9" scale="6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  <pageSetUpPr fitToPage="1"/>
  </sheetPr>
  <dimension ref="A1:AD20"/>
  <sheetViews>
    <sheetView showGridLines="0" zoomScale="90" zoomScaleNormal="90" workbookViewId="0"/>
  </sheetViews>
  <sheetFormatPr baseColWidth="10" defaultRowHeight="15"/>
  <cols>
    <col min="1" max="1" width="15.7109375" style="13" customWidth="1"/>
    <col min="2" max="2" width="10.7109375" style="13" customWidth="1"/>
    <col min="3" max="30" width="6.7109375" style="13" customWidth="1"/>
  </cols>
  <sheetData>
    <row r="1" spans="1:30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30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30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30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30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30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364</v>
      </c>
      <c r="M6" s="3"/>
      <c r="O6" s="80"/>
    </row>
    <row r="7" spans="1:30">
      <c r="A7" s="3"/>
      <c r="B7" s="3"/>
      <c r="C7" s="3"/>
      <c r="D7" s="3"/>
      <c r="E7" s="3"/>
    </row>
    <row r="8" spans="1:30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30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30">
      <c r="A10" s="133" t="s">
        <v>34</v>
      </c>
      <c r="B10" s="130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  <c r="AC10"/>
      <c r="AD10"/>
    </row>
    <row r="11" spans="1:30">
      <c r="A11" s="133"/>
      <c r="B11" s="130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  <c r="AC11"/>
      <c r="AD11"/>
    </row>
    <row r="12" spans="1:30">
      <c r="A12" s="5" t="s">
        <v>365</v>
      </c>
      <c r="B12" s="18" t="s">
        <v>366</v>
      </c>
      <c r="C12" s="12">
        <v>0</v>
      </c>
      <c r="D12" s="12"/>
      <c r="E12" s="12">
        <v>1</v>
      </c>
      <c r="F12" s="12"/>
      <c r="G12" s="12">
        <v>0</v>
      </c>
      <c r="H12" s="12"/>
      <c r="I12" s="12">
        <v>2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2</v>
      </c>
      <c r="T12" s="12"/>
      <c r="U12" s="12">
        <v>2</v>
      </c>
      <c r="V12" s="12"/>
      <c r="W12" s="12">
        <v>0</v>
      </c>
      <c r="X12" s="12"/>
      <c r="Y12" s="12">
        <v>2</v>
      </c>
      <c r="Z12" s="12"/>
      <c r="AA12" s="12">
        <f t="shared" ref="AA12:AA15" si="0">SUM(C12+E12+G12+I12+K12+M12+O12+Q12+S12+U12+W12+Y12)</f>
        <v>9</v>
      </c>
      <c r="AB12" s="12"/>
      <c r="AC12"/>
      <c r="AD12"/>
    </row>
    <row r="13" spans="1:30">
      <c r="A13" s="5" t="s">
        <v>380</v>
      </c>
      <c r="B13" s="18" t="s">
        <v>367</v>
      </c>
      <c r="C13" s="12">
        <v>0</v>
      </c>
      <c r="D13" s="12"/>
      <c r="E13" s="12">
        <v>0</v>
      </c>
      <c r="F13" s="12"/>
      <c r="G13" s="12">
        <v>0</v>
      </c>
      <c r="H13" s="12"/>
      <c r="I13" s="12">
        <v>0</v>
      </c>
      <c r="J13" s="12"/>
      <c r="K13" s="12">
        <v>1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0</v>
      </c>
      <c r="X13" s="12"/>
      <c r="Y13" s="12">
        <v>0</v>
      </c>
      <c r="Z13" s="12"/>
      <c r="AA13" s="12">
        <f t="shared" si="0"/>
        <v>1</v>
      </c>
      <c r="AB13" s="12"/>
      <c r="AC13"/>
      <c r="AD13"/>
    </row>
    <row r="14" spans="1:30">
      <c r="A14" s="5" t="s">
        <v>379</v>
      </c>
      <c r="B14" s="18" t="s">
        <v>369</v>
      </c>
      <c r="C14" s="12">
        <v>0</v>
      </c>
      <c r="D14" s="12"/>
      <c r="E14" s="12">
        <v>0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f t="shared" si="0"/>
        <v>0</v>
      </c>
      <c r="AB14" s="12"/>
      <c r="AC14"/>
      <c r="AD14"/>
    </row>
    <row r="15" spans="1:30">
      <c r="A15" s="5" t="s">
        <v>362</v>
      </c>
      <c r="B15" s="18" t="s">
        <v>371</v>
      </c>
      <c r="C15" s="12">
        <v>1</v>
      </c>
      <c r="D15" s="12"/>
      <c r="E15" s="12">
        <v>1</v>
      </c>
      <c r="F15" s="12"/>
      <c r="G15" s="12">
        <v>1</v>
      </c>
      <c r="H15" s="12"/>
      <c r="I15" s="12">
        <v>1</v>
      </c>
      <c r="J15" s="12"/>
      <c r="K15" s="12">
        <v>0</v>
      </c>
      <c r="L15" s="12"/>
      <c r="M15" s="12">
        <v>0</v>
      </c>
      <c r="N15" s="12"/>
      <c r="O15" s="12">
        <v>0</v>
      </c>
      <c r="P15" s="12"/>
      <c r="Q15" s="12">
        <v>0</v>
      </c>
      <c r="R15" s="12"/>
      <c r="S15" s="12">
        <v>0</v>
      </c>
      <c r="T15" s="12"/>
      <c r="U15" s="12">
        <v>0</v>
      </c>
      <c r="V15" s="12"/>
      <c r="W15" s="12">
        <v>0</v>
      </c>
      <c r="X15" s="12"/>
      <c r="Y15" s="12">
        <v>0</v>
      </c>
      <c r="Z15" s="12"/>
      <c r="AA15" s="12">
        <f t="shared" si="0"/>
        <v>4</v>
      </c>
      <c r="AB15" s="12"/>
      <c r="AC15"/>
      <c r="AD15"/>
    </row>
    <row r="17" spans="1:25" s="13" customFormat="1">
      <c r="A17" s="6"/>
      <c r="B17" s="6"/>
      <c r="C17" s="2"/>
      <c r="E17" s="2"/>
      <c r="G17" s="2"/>
      <c r="I17" s="2"/>
      <c r="K17" s="2"/>
      <c r="M17" s="2"/>
      <c r="O17" s="2"/>
      <c r="Q17" s="2"/>
      <c r="S17" s="2"/>
      <c r="U17" s="2"/>
      <c r="W17" s="2"/>
      <c r="Y17" s="2"/>
    </row>
    <row r="18" spans="1:25" s="13" customFormat="1">
      <c r="A18" s="7"/>
      <c r="B18" s="7"/>
      <c r="C18" s="2"/>
      <c r="E18" s="2"/>
      <c r="G18" s="2"/>
      <c r="I18" s="2"/>
      <c r="K18" s="2"/>
      <c r="M18" s="2"/>
      <c r="O18" s="2"/>
      <c r="Q18" s="2"/>
      <c r="S18" s="2"/>
      <c r="U18" s="2"/>
      <c r="W18" s="2"/>
      <c r="Y18" s="2"/>
    </row>
    <row r="19" spans="1:25" s="13" customFormat="1">
      <c r="A19" s="1"/>
      <c r="B19" s="1"/>
      <c r="C19" s="2"/>
      <c r="E19" s="2"/>
      <c r="G19" s="2"/>
      <c r="I19" s="2"/>
      <c r="K19" s="2"/>
      <c r="M19" s="2"/>
      <c r="O19" s="2"/>
      <c r="Q19" s="2"/>
      <c r="S19" s="2"/>
      <c r="U19" s="2"/>
      <c r="W19" s="2"/>
      <c r="Y19" s="2"/>
    </row>
    <row r="20" spans="1:25" s="13" customFormat="1">
      <c r="A20" s="1"/>
      <c r="B20" s="1"/>
      <c r="C20" s="2"/>
      <c r="E20" s="2"/>
      <c r="G20" s="2"/>
      <c r="I20" s="2"/>
      <c r="K20" s="2"/>
      <c r="M20" s="2"/>
      <c r="O20" s="2"/>
      <c r="Q20" s="2"/>
      <c r="S20" s="2"/>
      <c r="U20" s="2"/>
      <c r="W20" s="2"/>
      <c r="Y20" s="2"/>
    </row>
  </sheetData>
  <mergeCells count="20">
    <mergeCell ref="A10:A11"/>
    <mergeCell ref="B10:B11"/>
    <mergeCell ref="C10:D10"/>
    <mergeCell ref="E10:F10"/>
    <mergeCell ref="G10:H10"/>
    <mergeCell ref="G1:N2"/>
    <mergeCell ref="G3:N4"/>
    <mergeCell ref="F5:K5"/>
    <mergeCell ref="I6:K6"/>
    <mergeCell ref="C8:Z9"/>
    <mergeCell ref="U10:V10"/>
    <mergeCell ref="W10:X10"/>
    <mergeCell ref="Y10:Z10"/>
    <mergeCell ref="AA10:AB10"/>
    <mergeCell ref="I10:J10"/>
    <mergeCell ref="K10:L10"/>
    <mergeCell ref="M10:N10"/>
    <mergeCell ref="O10:P10"/>
    <mergeCell ref="Q10:R10"/>
    <mergeCell ref="S10:T10"/>
  </mergeCells>
  <conditionalFormatting sqref="B12:B15">
    <cfRule type="cellIs" dxfId="12" priority="5" operator="equal">
      <formula>"ABC"</formula>
    </cfRule>
    <cfRule type="cellIs" dxfId="11" priority="6" operator="equal">
      <formula>"RP"</formula>
    </cfRule>
    <cfRule type="cellIs" dxfId="10" priority="7" operator="equal">
      <formula>"RG"</formula>
    </cfRule>
  </conditionalFormatting>
  <conditionalFormatting sqref="C17:C20 E17:E20 G17:G20 I17:I20 K17:K20 M17:M20 O17:O20 Q17:Q20 S17:S20 U17:U20 W17:W20 Y17:Y20">
    <cfRule type="cellIs" dxfId="9" priority="1" operator="equal">
      <formula>"B"</formula>
    </cfRule>
    <cfRule type="cellIs" dxfId="8" priority="2" operator="equal">
      <formula>"A"</formula>
    </cfRule>
    <cfRule type="cellIs" dxfId="7" priority="3" operator="equal">
      <formula>"REV"</formula>
    </cfRule>
    <cfRule type="cellIs" dxfId="6" priority="4" operator="equal">
      <formula>"AL"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  <pageSetUpPr fitToPage="1"/>
  </sheetPr>
  <dimension ref="A1:T29"/>
  <sheetViews>
    <sheetView showGridLines="0" topLeftCell="B8" zoomScale="90" zoomScaleNormal="90" workbookViewId="0">
      <selection activeCell="B25" sqref="B25"/>
    </sheetView>
  </sheetViews>
  <sheetFormatPr baseColWidth="10" defaultColWidth="11.42578125" defaultRowHeight="15"/>
  <cols>
    <col min="1" max="1" width="19.28515625" style="13" bestFit="1" customWidth="1"/>
    <col min="2" max="2" width="10.7109375" style="13" customWidth="1"/>
    <col min="3" max="3" width="9.42578125" style="13" customWidth="1"/>
    <col min="4" max="4" width="10" style="13" bestFit="1" customWidth="1"/>
    <col min="5" max="5" width="9.42578125" style="13" customWidth="1"/>
    <col min="6" max="6" width="10.42578125" style="13" customWidth="1"/>
    <col min="7" max="7" width="22" style="13" bestFit="1" customWidth="1"/>
    <col min="8" max="19" width="10.5703125" style="13" customWidth="1"/>
    <col min="20" max="16384" width="11.42578125" style="13"/>
  </cols>
  <sheetData>
    <row r="1" spans="1:19" ht="15" customHeight="1">
      <c r="F1" s="16"/>
      <c r="G1" s="3" t="s">
        <v>347</v>
      </c>
    </row>
    <row r="2" spans="1:19" ht="15" customHeight="1">
      <c r="F2" s="23"/>
      <c r="G2" s="3"/>
    </row>
    <row r="3" spans="1:19" ht="15" customHeight="1">
      <c r="F3" s="16"/>
      <c r="G3" s="129" t="str">
        <f>'LGR CCEE'!G3:K3</f>
        <v>Plan de Mantenimiento Preventivo Año: 2026</v>
      </c>
      <c r="H3" s="129"/>
      <c r="I3" s="129"/>
      <c r="J3" s="129"/>
      <c r="K3" s="129"/>
    </row>
    <row r="4" spans="1:19" ht="15" customHeight="1">
      <c r="F4" s="16"/>
      <c r="G4" s="129" t="s">
        <v>353</v>
      </c>
      <c r="H4" s="129"/>
      <c r="I4" s="129"/>
      <c r="J4" s="129"/>
      <c r="K4" s="129"/>
    </row>
    <row r="5" spans="1:19">
      <c r="E5" s="128"/>
      <c r="F5" s="128"/>
      <c r="G5" s="51"/>
    </row>
    <row r="6" spans="1:19">
      <c r="E6" s="128" t="s">
        <v>17</v>
      </c>
      <c r="F6" s="128"/>
      <c r="G6" s="1" t="s">
        <v>372</v>
      </c>
    </row>
    <row r="7" spans="1:19">
      <c r="A7" s="13" t="s">
        <v>343</v>
      </c>
    </row>
    <row r="8" spans="1:19" customFormat="1">
      <c r="A8" s="87" t="str">
        <f>'LGR VAGONES'!A8</f>
        <v>Km. al: 30/09/2025</v>
      </c>
      <c r="B8" s="47"/>
      <c r="C8" s="130" t="s">
        <v>40</v>
      </c>
      <c r="D8" s="130"/>
      <c r="E8" s="131" t="s">
        <v>41</v>
      </c>
      <c r="F8" s="131"/>
      <c r="G8" s="131"/>
      <c r="H8" s="132" t="str">
        <f>'LGR VAGONES'!H8:S8</f>
        <v>AÑO 2026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spans="1:19">
      <c r="A9" s="33" t="s">
        <v>38</v>
      </c>
      <c r="B9" s="34" t="s">
        <v>36</v>
      </c>
      <c r="C9" s="34" t="s">
        <v>1</v>
      </c>
      <c r="D9" s="34" t="s">
        <v>2</v>
      </c>
      <c r="E9" s="34" t="s">
        <v>1</v>
      </c>
      <c r="F9" s="34" t="s">
        <v>3</v>
      </c>
      <c r="G9" s="34" t="s">
        <v>2</v>
      </c>
      <c r="H9" s="40" t="s">
        <v>15</v>
      </c>
      <c r="I9" s="40" t="s">
        <v>4</v>
      </c>
      <c r="J9" s="40" t="s">
        <v>5</v>
      </c>
      <c r="K9" s="40" t="s">
        <v>6</v>
      </c>
      <c r="L9" s="40" t="s">
        <v>7</v>
      </c>
      <c r="M9" s="40" t="s">
        <v>8</v>
      </c>
      <c r="N9" s="40" t="s">
        <v>9</v>
      </c>
      <c r="O9" s="40" t="s">
        <v>10</v>
      </c>
      <c r="P9" s="40" t="s">
        <v>11</v>
      </c>
      <c r="Q9" s="40" t="s">
        <v>12</v>
      </c>
      <c r="R9" s="40" t="s">
        <v>13</v>
      </c>
      <c r="S9" s="40" t="s">
        <v>14</v>
      </c>
    </row>
    <row r="10" spans="1:19">
      <c r="A10" s="37" t="s">
        <v>373</v>
      </c>
      <c r="B10" s="101">
        <v>30</v>
      </c>
      <c r="C10" s="29" t="s">
        <v>323</v>
      </c>
      <c r="D10" s="30" t="s">
        <v>323</v>
      </c>
      <c r="E10" s="29" t="s">
        <v>323</v>
      </c>
      <c r="F10" s="31" t="s">
        <v>325</v>
      </c>
      <c r="G10" s="32">
        <v>45835</v>
      </c>
      <c r="H10" s="46"/>
      <c r="I10" s="46"/>
      <c r="J10" s="46"/>
      <c r="K10" s="46"/>
      <c r="L10" s="46"/>
      <c r="M10" s="46" t="s">
        <v>325</v>
      </c>
      <c r="N10" s="46"/>
      <c r="O10" s="46"/>
      <c r="P10" s="46"/>
      <c r="Q10" s="46"/>
      <c r="R10" s="46"/>
      <c r="S10" s="46"/>
    </row>
    <row r="11" spans="1:19">
      <c r="A11" s="37" t="s">
        <v>374</v>
      </c>
      <c r="B11" s="101">
        <v>3548</v>
      </c>
      <c r="C11" s="29" t="s">
        <v>323</v>
      </c>
      <c r="D11" s="30" t="s">
        <v>323</v>
      </c>
      <c r="E11" s="29" t="s">
        <v>323</v>
      </c>
      <c r="F11" s="31" t="s">
        <v>325</v>
      </c>
      <c r="G11" s="32">
        <v>45778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 t="s">
        <v>310</v>
      </c>
      <c r="S11" s="46"/>
    </row>
    <row r="12" spans="1:19">
      <c r="A12" s="37" t="s">
        <v>374</v>
      </c>
      <c r="B12" s="101">
        <v>3553</v>
      </c>
      <c r="C12" s="29" t="s">
        <v>323</v>
      </c>
      <c r="D12" s="30" t="s">
        <v>323</v>
      </c>
      <c r="E12" s="29" t="s">
        <v>323</v>
      </c>
      <c r="F12" s="31" t="s">
        <v>325</v>
      </c>
      <c r="G12" s="32">
        <v>45859</v>
      </c>
      <c r="H12" s="46"/>
      <c r="I12" s="46"/>
      <c r="J12" s="46"/>
      <c r="K12" s="46"/>
      <c r="L12" s="46"/>
      <c r="M12" s="46"/>
      <c r="N12" s="46" t="s">
        <v>325</v>
      </c>
      <c r="O12" s="46"/>
      <c r="P12" s="46"/>
      <c r="Q12" s="46"/>
      <c r="R12" s="46"/>
      <c r="S12" s="46"/>
    </row>
    <row r="13" spans="1:19">
      <c r="A13" s="37" t="s">
        <v>374</v>
      </c>
      <c r="B13" s="101">
        <v>3657</v>
      </c>
      <c r="C13" s="29" t="s">
        <v>323</v>
      </c>
      <c r="D13" s="30" t="s">
        <v>323</v>
      </c>
      <c r="E13" s="29" t="s">
        <v>323</v>
      </c>
      <c r="F13" s="31" t="s">
        <v>325</v>
      </c>
      <c r="G13" s="32">
        <v>45883</v>
      </c>
      <c r="H13" s="46"/>
      <c r="I13" s="46"/>
      <c r="J13" s="46"/>
      <c r="K13" s="46"/>
      <c r="L13" s="46"/>
      <c r="M13" s="46"/>
      <c r="N13" s="46"/>
      <c r="O13" s="46" t="s">
        <v>325</v>
      </c>
      <c r="P13" s="46"/>
      <c r="Q13" s="46"/>
      <c r="R13" s="46"/>
      <c r="S13" s="46"/>
    </row>
    <row r="14" spans="1:19">
      <c r="A14" s="37" t="s">
        <v>374</v>
      </c>
      <c r="B14" s="101">
        <v>3675</v>
      </c>
      <c r="C14" s="29"/>
      <c r="D14" s="30"/>
      <c r="E14" s="29"/>
      <c r="F14" s="31" t="s">
        <v>306</v>
      </c>
      <c r="G14" s="32">
        <v>45811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 t="s">
        <v>310</v>
      </c>
    </row>
    <row r="15" spans="1:19">
      <c r="A15" s="37" t="s">
        <v>374</v>
      </c>
      <c r="B15" s="101">
        <v>3752</v>
      </c>
      <c r="C15" s="29" t="s">
        <v>323</v>
      </c>
      <c r="D15" s="30" t="s">
        <v>323</v>
      </c>
      <c r="E15" s="29" t="s">
        <v>323</v>
      </c>
      <c r="F15" s="31" t="s">
        <v>325</v>
      </c>
      <c r="G15" s="32">
        <v>45807</v>
      </c>
      <c r="H15" s="46"/>
      <c r="I15" s="46"/>
      <c r="J15" s="46"/>
      <c r="K15" s="46"/>
      <c r="L15" s="46" t="s">
        <v>325</v>
      </c>
      <c r="M15" s="46"/>
      <c r="N15" s="46"/>
      <c r="O15" s="46"/>
      <c r="P15" s="46"/>
      <c r="Q15" s="46"/>
      <c r="R15" s="46"/>
      <c r="S15" s="46"/>
    </row>
    <row r="16" spans="1:19">
      <c r="A16" s="37" t="s">
        <v>374</v>
      </c>
      <c r="B16" s="101">
        <v>3761</v>
      </c>
      <c r="C16" s="29" t="s">
        <v>323</v>
      </c>
      <c r="D16" s="30" t="s">
        <v>323</v>
      </c>
      <c r="E16" s="29" t="s">
        <v>323</v>
      </c>
      <c r="F16" s="31" t="s">
        <v>310</v>
      </c>
      <c r="G16" s="32">
        <v>45832</v>
      </c>
      <c r="H16" s="46"/>
      <c r="I16" s="46"/>
      <c r="J16" s="46"/>
      <c r="K16" s="46"/>
      <c r="L16" s="46"/>
      <c r="M16" s="46"/>
      <c r="N16" s="46" t="s">
        <v>325</v>
      </c>
      <c r="O16" s="46"/>
      <c r="P16" s="46"/>
      <c r="Q16" s="46"/>
      <c r="R16" s="46"/>
      <c r="S16" s="46"/>
    </row>
    <row r="17" spans="1:20">
      <c r="A17" s="37" t="s">
        <v>374</v>
      </c>
      <c r="B17" s="101">
        <v>3795</v>
      </c>
      <c r="C17" s="29" t="s">
        <v>323</v>
      </c>
      <c r="D17" s="30" t="s">
        <v>323</v>
      </c>
      <c r="E17" s="29" t="s">
        <v>323</v>
      </c>
      <c r="F17" s="31" t="s">
        <v>310</v>
      </c>
      <c r="G17" s="32">
        <v>45806</v>
      </c>
      <c r="H17" s="46"/>
      <c r="I17" s="46"/>
      <c r="J17" s="46"/>
      <c r="K17" s="46"/>
      <c r="L17" s="46"/>
      <c r="M17" s="46"/>
      <c r="N17" s="46" t="s">
        <v>325</v>
      </c>
      <c r="O17" s="46"/>
      <c r="P17" s="46"/>
      <c r="Q17" s="46"/>
      <c r="R17" s="46"/>
      <c r="S17" s="46"/>
    </row>
    <row r="18" spans="1:20">
      <c r="A18" s="37" t="s">
        <v>375</v>
      </c>
      <c r="B18" s="101" t="s">
        <v>376</v>
      </c>
      <c r="C18" s="29" t="s">
        <v>323</v>
      </c>
      <c r="D18" s="30" t="s">
        <v>323</v>
      </c>
      <c r="E18" s="29" t="s">
        <v>323</v>
      </c>
      <c r="F18" s="29" t="s">
        <v>323</v>
      </c>
      <c r="G18" s="32"/>
      <c r="H18" s="46"/>
      <c r="I18" s="46"/>
      <c r="J18" s="46"/>
      <c r="K18" s="46" t="s">
        <v>325</v>
      </c>
      <c r="L18" s="46"/>
      <c r="M18" s="46"/>
      <c r="N18" s="46"/>
      <c r="O18" s="46"/>
      <c r="P18" s="46"/>
      <c r="Q18" s="46"/>
      <c r="R18" s="46"/>
      <c r="S18" s="46"/>
    </row>
    <row r="19" spans="1:20">
      <c r="A19" s="37" t="s">
        <v>375</v>
      </c>
      <c r="B19" s="101" t="s">
        <v>378</v>
      </c>
      <c r="C19" s="29" t="s">
        <v>323</v>
      </c>
      <c r="D19" s="30" t="s">
        <v>323</v>
      </c>
      <c r="E19" s="29" t="s">
        <v>323</v>
      </c>
      <c r="F19" s="29" t="s">
        <v>323</v>
      </c>
      <c r="G19" s="32"/>
      <c r="H19" s="46"/>
      <c r="I19" s="46"/>
      <c r="J19" s="46"/>
      <c r="K19" s="46"/>
      <c r="L19" s="46"/>
      <c r="M19" s="46"/>
      <c r="N19" s="46"/>
      <c r="O19" s="46" t="s">
        <v>325</v>
      </c>
      <c r="P19" s="46"/>
      <c r="Q19" s="46"/>
      <c r="R19" s="46"/>
      <c r="S19" s="46"/>
    </row>
    <row r="20" spans="1:20">
      <c r="A20" s="37" t="s">
        <v>375</v>
      </c>
      <c r="B20" s="101" t="s">
        <v>377</v>
      </c>
      <c r="C20" s="29" t="s">
        <v>323</v>
      </c>
      <c r="D20" s="30" t="s">
        <v>323</v>
      </c>
      <c r="E20" s="29" t="s">
        <v>323</v>
      </c>
      <c r="F20" s="29" t="s">
        <v>323</v>
      </c>
      <c r="G20" s="32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 t="s">
        <v>325</v>
      </c>
    </row>
    <row r="21" spans="1:20">
      <c r="A21" s="1"/>
      <c r="B21" s="1"/>
    </row>
    <row r="22" spans="1:20">
      <c r="A22" s="8"/>
      <c r="B22" s="8"/>
      <c r="G22" s="2" t="s">
        <v>361</v>
      </c>
      <c r="H22" s="2">
        <f t="shared" ref="H22:S22" si="0">COUNTIF(H10:H20,"AB")</f>
        <v>0</v>
      </c>
      <c r="I22" s="2">
        <f t="shared" si="0"/>
        <v>0</v>
      </c>
      <c r="J22" s="2">
        <f t="shared" si="0"/>
        <v>0</v>
      </c>
      <c r="K22" s="2">
        <f t="shared" si="0"/>
        <v>1</v>
      </c>
      <c r="L22" s="2">
        <f t="shared" si="0"/>
        <v>1</v>
      </c>
      <c r="M22" s="2">
        <f t="shared" si="0"/>
        <v>1</v>
      </c>
      <c r="N22" s="2">
        <f t="shared" si="0"/>
        <v>3</v>
      </c>
      <c r="O22" s="2">
        <f t="shared" si="0"/>
        <v>2</v>
      </c>
      <c r="P22" s="2">
        <f t="shared" si="0"/>
        <v>0</v>
      </c>
      <c r="Q22" s="2">
        <f t="shared" si="0"/>
        <v>0</v>
      </c>
      <c r="R22" s="2">
        <f t="shared" si="0"/>
        <v>0</v>
      </c>
      <c r="S22" s="2">
        <f t="shared" si="0"/>
        <v>1</v>
      </c>
      <c r="T22" s="13">
        <f t="shared" ref="T22" si="1">SUM(H22:S22)</f>
        <v>9</v>
      </c>
    </row>
    <row r="23" spans="1:20">
      <c r="A23" s="8"/>
      <c r="B23" s="8"/>
      <c r="G23" s="2" t="s">
        <v>402</v>
      </c>
      <c r="H23" s="2">
        <f t="shared" ref="H23:S23" si="2">COUNTIF(H10:H20,"ABC")</f>
        <v>0</v>
      </c>
      <c r="I23" s="2">
        <f t="shared" si="2"/>
        <v>0</v>
      </c>
      <c r="J23" s="2">
        <f t="shared" si="2"/>
        <v>0</v>
      </c>
      <c r="K23" s="2">
        <f t="shared" si="2"/>
        <v>0</v>
      </c>
      <c r="L23" s="2">
        <f t="shared" si="2"/>
        <v>0</v>
      </c>
      <c r="M23" s="2">
        <f t="shared" si="2"/>
        <v>0</v>
      </c>
      <c r="N23" s="2">
        <f t="shared" si="2"/>
        <v>0</v>
      </c>
      <c r="O23" s="2">
        <f t="shared" si="2"/>
        <v>0</v>
      </c>
      <c r="P23" s="2">
        <f t="shared" si="2"/>
        <v>0</v>
      </c>
      <c r="Q23" s="2">
        <f t="shared" si="2"/>
        <v>0</v>
      </c>
      <c r="R23" s="2">
        <f t="shared" si="2"/>
        <v>1</v>
      </c>
      <c r="S23" s="2">
        <f t="shared" si="2"/>
        <v>1</v>
      </c>
      <c r="T23" s="13">
        <f t="shared" ref="T23" si="3">SUM(H23:S23)</f>
        <v>2</v>
      </c>
    </row>
    <row r="25" spans="1:20" s="83" customFormat="1">
      <c r="A25" s="111" t="s">
        <v>374</v>
      </c>
      <c r="B25" s="112">
        <v>2592</v>
      </c>
      <c r="C25" s="113" t="s">
        <v>323</v>
      </c>
      <c r="D25" s="114" t="s">
        <v>323</v>
      </c>
      <c r="E25" s="113" t="s">
        <v>323</v>
      </c>
      <c r="F25" s="111" t="s">
        <v>325</v>
      </c>
      <c r="G25" s="115">
        <v>45141</v>
      </c>
      <c r="H25" s="116" t="s">
        <v>501</v>
      </c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</row>
    <row r="26" spans="1:20" s="83" customFormat="1">
      <c r="A26" s="111" t="s">
        <v>374</v>
      </c>
      <c r="B26" s="112">
        <v>2629</v>
      </c>
      <c r="C26" s="113" t="s">
        <v>323</v>
      </c>
      <c r="D26" s="114" t="s">
        <v>323</v>
      </c>
      <c r="E26" s="113" t="s">
        <v>323</v>
      </c>
      <c r="F26" s="111" t="s">
        <v>325</v>
      </c>
      <c r="G26" s="115">
        <v>45025</v>
      </c>
      <c r="H26" s="116" t="s">
        <v>501</v>
      </c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</row>
    <row r="27" spans="1:20" s="83" customFormat="1">
      <c r="A27" s="111" t="s">
        <v>374</v>
      </c>
      <c r="B27" s="112">
        <v>2633</v>
      </c>
      <c r="C27" s="113" t="s">
        <v>323</v>
      </c>
      <c r="D27" s="114" t="s">
        <v>323</v>
      </c>
      <c r="E27" s="113" t="s">
        <v>323</v>
      </c>
      <c r="F27" s="111" t="s">
        <v>325</v>
      </c>
      <c r="G27" s="115">
        <v>45058</v>
      </c>
      <c r="H27" s="116" t="s">
        <v>501</v>
      </c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</row>
    <row r="28" spans="1:20" s="83" customFormat="1">
      <c r="A28" s="111" t="s">
        <v>374</v>
      </c>
      <c r="B28" s="112">
        <v>3523</v>
      </c>
      <c r="C28" s="113" t="s">
        <v>323</v>
      </c>
      <c r="D28" s="114" t="s">
        <v>323</v>
      </c>
      <c r="E28" s="113" t="s">
        <v>323</v>
      </c>
      <c r="F28" s="111" t="s">
        <v>325</v>
      </c>
      <c r="G28" s="115">
        <v>45089</v>
      </c>
      <c r="H28" s="116" t="s">
        <v>501</v>
      </c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</row>
    <row r="29" spans="1:20" s="83" customFormat="1">
      <c r="A29" s="111" t="s">
        <v>374</v>
      </c>
      <c r="B29" s="112">
        <v>3561</v>
      </c>
      <c r="C29" s="113" t="s">
        <v>323</v>
      </c>
      <c r="D29" s="114" t="s">
        <v>323</v>
      </c>
      <c r="E29" s="113" t="s">
        <v>323</v>
      </c>
      <c r="F29" s="111" t="s">
        <v>325</v>
      </c>
      <c r="G29" s="115">
        <v>44862</v>
      </c>
      <c r="H29" s="116" t="s">
        <v>501</v>
      </c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</row>
  </sheetData>
  <autoFilter ref="A9:S17" xr:uid="{00000000-0009-0000-0000-000010000000}">
    <sortState xmlns:xlrd2="http://schemas.microsoft.com/office/spreadsheetml/2017/richdata2" ref="A10:S24">
      <sortCondition ref="B9:B21"/>
    </sortState>
  </autoFilter>
  <sortState xmlns:xlrd2="http://schemas.microsoft.com/office/spreadsheetml/2017/richdata2" ref="A10:S21">
    <sortCondition ref="A9"/>
  </sortState>
  <mergeCells count="7">
    <mergeCell ref="G3:K3"/>
    <mergeCell ref="G4:K4"/>
    <mergeCell ref="E5:F5"/>
    <mergeCell ref="E6:F6"/>
    <mergeCell ref="C8:D8"/>
    <mergeCell ref="E8:G8"/>
    <mergeCell ref="H8:S8"/>
  </mergeCells>
  <conditionalFormatting sqref="H10:S20 H25:S29">
    <cfRule type="cellIs" dxfId="5" priority="71" operator="equal">
      <formula>"AN"</formula>
    </cfRule>
    <cfRule type="cellIs" dxfId="4" priority="72" operator="equal">
      <formula>"B"</formula>
    </cfRule>
    <cfRule type="cellIs" dxfId="3" priority="73" operator="equal">
      <formula>"C"</formula>
    </cfRule>
  </conditionalFormatting>
  <pageMargins left="0.27559055118110237" right="0.23622047244094491" top="0.74803149606299213" bottom="0.74803149606299213" header="0.31496062992125984" footer="0.31496062992125984"/>
  <pageSetup paperSize="9" scale="6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  <pageSetUpPr fitToPage="1"/>
  </sheetPr>
  <dimension ref="A1:AD17"/>
  <sheetViews>
    <sheetView showGridLines="0" zoomScale="90" zoomScaleNormal="90" workbookViewId="0">
      <selection activeCell="A15" sqref="A15"/>
    </sheetView>
  </sheetViews>
  <sheetFormatPr baseColWidth="10" defaultRowHeight="15"/>
  <cols>
    <col min="1" max="1" width="15.7109375" style="13" customWidth="1"/>
    <col min="2" max="2" width="10.7109375" style="13" customWidth="1"/>
    <col min="3" max="30" width="6.7109375" style="13" customWidth="1"/>
  </cols>
  <sheetData>
    <row r="1" spans="1:30" ht="15" customHeight="1">
      <c r="G1" s="129" t="s">
        <v>37</v>
      </c>
      <c r="H1" s="129"/>
      <c r="I1" s="129"/>
      <c r="J1" s="129"/>
      <c r="K1" s="129"/>
      <c r="L1" s="129"/>
      <c r="M1" s="129"/>
      <c r="N1" s="129"/>
      <c r="T1" s="36"/>
      <c r="U1" s="36"/>
      <c r="V1" s="36"/>
      <c r="W1" s="36"/>
      <c r="X1" s="36"/>
      <c r="Y1" s="36"/>
      <c r="Z1" s="36"/>
    </row>
    <row r="2" spans="1:30" ht="15" customHeight="1">
      <c r="E2" s="2"/>
      <c r="G2" s="129"/>
      <c r="H2" s="129"/>
      <c r="I2" s="129"/>
      <c r="J2" s="129"/>
      <c r="K2" s="129"/>
      <c r="L2" s="129"/>
      <c r="M2" s="129"/>
      <c r="N2" s="129"/>
      <c r="T2" s="36"/>
      <c r="U2" s="36"/>
      <c r="V2" s="36"/>
      <c r="W2" s="36"/>
      <c r="X2" s="36"/>
      <c r="Y2" s="36"/>
      <c r="Z2" s="36"/>
    </row>
    <row r="3" spans="1:30" ht="15" customHeight="1">
      <c r="G3" s="129" t="s">
        <v>0</v>
      </c>
      <c r="H3" s="129"/>
      <c r="I3" s="129"/>
      <c r="J3" s="129"/>
      <c r="K3" s="129"/>
      <c r="L3" s="129"/>
      <c r="M3" s="129"/>
      <c r="N3" s="129"/>
      <c r="T3" s="36"/>
      <c r="U3" s="36"/>
      <c r="V3" s="36"/>
      <c r="W3" s="36"/>
      <c r="X3" s="36"/>
      <c r="Y3" s="36"/>
      <c r="Z3" s="36"/>
    </row>
    <row r="4" spans="1:30" ht="15" customHeight="1">
      <c r="G4" s="129"/>
      <c r="H4" s="129"/>
      <c r="I4" s="129"/>
      <c r="J4" s="129"/>
      <c r="K4" s="129"/>
      <c r="L4" s="129"/>
      <c r="M4" s="129"/>
      <c r="N4" s="129"/>
      <c r="T4" s="19"/>
      <c r="U4" s="19"/>
      <c r="V4" s="19"/>
      <c r="W4" s="19"/>
      <c r="X4" s="19"/>
      <c r="Y4" s="19"/>
      <c r="Z4" s="19"/>
    </row>
    <row r="5" spans="1:30">
      <c r="A5" s="3"/>
      <c r="B5" s="3"/>
      <c r="C5" s="3"/>
      <c r="F5" s="128" t="s">
        <v>33</v>
      </c>
      <c r="G5" s="128"/>
      <c r="H5" s="128"/>
      <c r="I5" s="128"/>
      <c r="J5" s="128"/>
      <c r="K5" s="128"/>
      <c r="L5" s="1" t="s">
        <v>18</v>
      </c>
      <c r="M5" s="1"/>
      <c r="N5" s="1"/>
    </row>
    <row r="6" spans="1:30">
      <c r="A6" s="3"/>
      <c r="B6" s="3"/>
      <c r="C6" s="3"/>
      <c r="F6" s="3"/>
      <c r="G6" s="3"/>
      <c r="H6" s="3"/>
      <c r="I6" s="128" t="s">
        <v>17</v>
      </c>
      <c r="J6" s="128"/>
      <c r="K6" s="128"/>
      <c r="L6" s="3" t="s">
        <v>372</v>
      </c>
      <c r="M6" s="3"/>
      <c r="O6" s="80"/>
    </row>
    <row r="7" spans="1:30">
      <c r="A7" s="3"/>
      <c r="B7" s="3"/>
      <c r="C7" s="3"/>
      <c r="D7" s="3"/>
      <c r="E7" s="3"/>
    </row>
    <row r="8" spans="1:30">
      <c r="A8" s="3"/>
      <c r="B8" s="3"/>
      <c r="C8" s="134" t="s">
        <v>35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30">
      <c r="A9" s="3"/>
      <c r="B9" s="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30">
      <c r="A10" s="133" t="s">
        <v>34</v>
      </c>
      <c r="B10" s="130" t="s">
        <v>39</v>
      </c>
      <c r="C10" s="130" t="s">
        <v>19</v>
      </c>
      <c r="D10" s="130"/>
      <c r="E10" s="130" t="s">
        <v>20</v>
      </c>
      <c r="F10" s="130"/>
      <c r="G10" s="130" t="s">
        <v>21</v>
      </c>
      <c r="H10" s="130"/>
      <c r="I10" s="130" t="s">
        <v>22</v>
      </c>
      <c r="J10" s="130"/>
      <c r="K10" s="130" t="s">
        <v>23</v>
      </c>
      <c r="L10" s="130"/>
      <c r="M10" s="130" t="s">
        <v>24</v>
      </c>
      <c r="N10" s="130"/>
      <c r="O10" s="130" t="s">
        <v>25</v>
      </c>
      <c r="P10" s="130"/>
      <c r="Q10" s="130" t="s">
        <v>26</v>
      </c>
      <c r="R10" s="130"/>
      <c r="S10" s="130" t="s">
        <v>27</v>
      </c>
      <c r="T10" s="130"/>
      <c r="U10" s="130" t="s">
        <v>28</v>
      </c>
      <c r="V10" s="130"/>
      <c r="W10" s="130" t="s">
        <v>29</v>
      </c>
      <c r="X10" s="130"/>
      <c r="Y10" s="130" t="s">
        <v>30</v>
      </c>
      <c r="Z10" s="130"/>
      <c r="AA10" s="130" t="s">
        <v>244</v>
      </c>
      <c r="AB10" s="130"/>
      <c r="AC10"/>
      <c r="AD10"/>
    </row>
    <row r="11" spans="1:30">
      <c r="A11" s="133"/>
      <c r="B11" s="130"/>
      <c r="C11" s="4" t="s">
        <v>31</v>
      </c>
      <c r="D11" s="4" t="s">
        <v>32</v>
      </c>
      <c r="E11" s="4" t="s">
        <v>31</v>
      </c>
      <c r="F11" s="4" t="s">
        <v>32</v>
      </c>
      <c r="G11" s="4" t="s">
        <v>31</v>
      </c>
      <c r="H11" s="4" t="s">
        <v>32</v>
      </c>
      <c r="I11" s="4" t="s">
        <v>31</v>
      </c>
      <c r="J11" s="4" t="s">
        <v>32</v>
      </c>
      <c r="K11" s="4" t="s">
        <v>31</v>
      </c>
      <c r="L11" s="4" t="s">
        <v>32</v>
      </c>
      <c r="M11" s="4" t="s">
        <v>31</v>
      </c>
      <c r="N11" s="4" t="s">
        <v>32</v>
      </c>
      <c r="O11" s="4" t="s">
        <v>31</v>
      </c>
      <c r="P11" s="4" t="s">
        <v>32</v>
      </c>
      <c r="Q11" s="4" t="s">
        <v>31</v>
      </c>
      <c r="R11" s="4" t="s">
        <v>32</v>
      </c>
      <c r="S11" s="4" t="s">
        <v>31</v>
      </c>
      <c r="T11" s="4" t="s">
        <v>32</v>
      </c>
      <c r="U11" s="4" t="s">
        <v>31</v>
      </c>
      <c r="V11" s="4" t="s">
        <v>32</v>
      </c>
      <c r="W11" s="4" t="s">
        <v>31</v>
      </c>
      <c r="X11" s="4" t="s">
        <v>32</v>
      </c>
      <c r="Y11" s="4" t="s">
        <v>31</v>
      </c>
      <c r="Z11" s="4" t="s">
        <v>32</v>
      </c>
      <c r="AA11" s="4" t="s">
        <v>31</v>
      </c>
      <c r="AB11" s="4" t="s">
        <v>32</v>
      </c>
      <c r="AC11"/>
      <c r="AD11"/>
    </row>
    <row r="12" spans="1:30">
      <c r="A12" s="5" t="s">
        <v>363</v>
      </c>
      <c r="B12" s="18" t="s">
        <v>323</v>
      </c>
      <c r="C12" s="12">
        <v>0</v>
      </c>
      <c r="D12" s="12"/>
      <c r="E12" s="12">
        <v>0</v>
      </c>
      <c r="F12" s="12"/>
      <c r="G12" s="12">
        <v>0</v>
      </c>
      <c r="H12" s="12"/>
      <c r="I12" s="12">
        <v>0</v>
      </c>
      <c r="J12" s="12"/>
      <c r="K12" s="12">
        <v>1</v>
      </c>
      <c r="L12" s="12"/>
      <c r="M12" s="12">
        <v>1</v>
      </c>
      <c r="N12" s="12"/>
      <c r="O12" s="12">
        <v>3</v>
      </c>
      <c r="P12" s="12"/>
      <c r="Q12" s="12">
        <v>1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f t="shared" ref="AA12" si="0">SUM(C12+E12+G12+I12+K12+M12+O12+Q12+S12+U12+W12+Y12)</f>
        <v>6</v>
      </c>
      <c r="AB12" s="12">
        <f t="shared" ref="AB12" si="1">+D12+F12+H12+J12+L12+N12+P12+R12+T12+V12+X12+Z12</f>
        <v>0</v>
      </c>
      <c r="AC12"/>
      <c r="AD12"/>
    </row>
    <row r="13" spans="1:30">
      <c r="A13" s="5" t="s">
        <v>401</v>
      </c>
      <c r="B13" s="18" t="s">
        <v>323</v>
      </c>
      <c r="C13" s="12">
        <v>0</v>
      </c>
      <c r="D13" s="12"/>
      <c r="E13" s="12">
        <v>0</v>
      </c>
      <c r="F13" s="12"/>
      <c r="G13" s="12">
        <v>0</v>
      </c>
      <c r="H13" s="12"/>
      <c r="I13" s="12">
        <v>0</v>
      </c>
      <c r="J13" s="12"/>
      <c r="K13" s="12">
        <v>0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1</v>
      </c>
      <c r="X13" s="12"/>
      <c r="Y13" s="12">
        <v>1</v>
      </c>
      <c r="Z13" s="12"/>
      <c r="AA13" s="12">
        <f t="shared" ref="AA13" si="2">SUM(C13+E13+G13+I13+K13+M13+O13+Q13+S13+U13+W13+Y13)</f>
        <v>2</v>
      </c>
      <c r="AB13" s="12">
        <f t="shared" ref="AB13" si="3">+D13+F13+H13+J13+L13+N13+P13+R13+T13+V13+X13+Z13</f>
        <v>0</v>
      </c>
      <c r="AC13"/>
      <c r="AD13"/>
    </row>
    <row r="14" spans="1:30" s="13" customFormat="1">
      <c r="A14" s="6"/>
      <c r="B14" s="6"/>
    </row>
    <row r="15" spans="1:30" s="13" customFormat="1">
      <c r="A15" s="7"/>
      <c r="B15" s="7"/>
    </row>
    <row r="16" spans="1:30" s="13" customFormat="1">
      <c r="A16" s="1"/>
      <c r="B16" s="1"/>
    </row>
    <row r="17" spans="1:2" s="13" customFormat="1">
      <c r="A17" s="1"/>
      <c r="B17" s="1"/>
    </row>
  </sheetData>
  <mergeCells count="20">
    <mergeCell ref="A10:A11"/>
    <mergeCell ref="B10:B11"/>
    <mergeCell ref="C10:D10"/>
    <mergeCell ref="E10:F10"/>
    <mergeCell ref="G10:H10"/>
    <mergeCell ref="G1:N2"/>
    <mergeCell ref="G3:N4"/>
    <mergeCell ref="F5:K5"/>
    <mergeCell ref="I6:K6"/>
    <mergeCell ref="C8:Z9"/>
    <mergeCell ref="U10:V10"/>
    <mergeCell ref="W10:X10"/>
    <mergeCell ref="Y10:Z10"/>
    <mergeCell ref="AA10:AB10"/>
    <mergeCell ref="I10:J10"/>
    <mergeCell ref="K10:L10"/>
    <mergeCell ref="M10:N10"/>
    <mergeCell ref="O10:P10"/>
    <mergeCell ref="Q10:R10"/>
    <mergeCell ref="S10:T10"/>
  </mergeCells>
  <conditionalFormatting sqref="B12:B13">
    <cfRule type="cellIs" dxfId="2" priority="1" operator="equal">
      <formula>"ABC"</formula>
    </cfRule>
    <cfRule type="cellIs" dxfId="1" priority="2" operator="equal">
      <formula>"RP"</formula>
    </cfRule>
    <cfRule type="cellIs" dxfId="0" priority="3" operator="equal">
      <formula>"RG"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E123"/>
  <sheetViews>
    <sheetView workbookViewId="0">
      <pane ySplit="3" topLeftCell="A4" activePane="bottomLeft" state="frozenSplit"/>
      <selection pane="bottomLeft" activeCell="A4" sqref="A4"/>
    </sheetView>
  </sheetViews>
  <sheetFormatPr baseColWidth="10" defaultRowHeight="15"/>
  <cols>
    <col min="1" max="1" width="23" customWidth="1"/>
    <col min="2" max="2" width="11.42578125" style="106"/>
    <col min="3" max="3" width="18.5703125" customWidth="1"/>
    <col min="4" max="4" width="21.140625" customWidth="1"/>
    <col min="5" max="5" width="39.28515625" customWidth="1"/>
  </cols>
  <sheetData>
    <row r="1" spans="1:5" ht="62.25" thickBot="1">
      <c r="A1" s="138" t="s">
        <v>427</v>
      </c>
      <c r="B1" s="139"/>
      <c r="C1" s="139"/>
      <c r="D1" s="139"/>
      <c r="E1" s="140"/>
    </row>
    <row r="2" spans="1:5" ht="15.75" thickBot="1">
      <c r="A2" s="141" t="s">
        <v>428</v>
      </c>
      <c r="B2" s="142"/>
      <c r="C2" s="142"/>
      <c r="D2" s="142"/>
      <c r="E2" s="143"/>
    </row>
    <row r="3" spans="1:5">
      <c r="A3" s="103" t="s">
        <v>429</v>
      </c>
      <c r="B3" s="104" t="s">
        <v>430</v>
      </c>
      <c r="C3" s="103" t="s">
        <v>431</v>
      </c>
      <c r="D3" s="103" t="s">
        <v>464</v>
      </c>
      <c r="E3" s="103" t="s">
        <v>432</v>
      </c>
    </row>
    <row r="4" spans="1:5" s="13" customFormat="1">
      <c r="A4" s="82" t="s">
        <v>433</v>
      </c>
      <c r="B4" s="105" t="s">
        <v>400</v>
      </c>
      <c r="C4" s="82" t="s">
        <v>434</v>
      </c>
      <c r="D4" s="82" t="s">
        <v>399</v>
      </c>
      <c r="E4" s="82"/>
    </row>
    <row r="5" spans="1:5" s="13" customFormat="1">
      <c r="A5" s="82" t="s">
        <v>435</v>
      </c>
      <c r="B5" s="105" t="s">
        <v>504</v>
      </c>
      <c r="C5" s="82" t="s">
        <v>439</v>
      </c>
      <c r="D5" s="82" t="s">
        <v>399</v>
      </c>
      <c r="E5" s="82"/>
    </row>
    <row r="6" spans="1:5" s="13" customFormat="1">
      <c r="A6" s="82" t="s">
        <v>435</v>
      </c>
      <c r="B6" s="105" t="s">
        <v>436</v>
      </c>
      <c r="C6" s="82" t="s">
        <v>437</v>
      </c>
      <c r="D6" s="82" t="s">
        <v>399</v>
      </c>
      <c r="E6" s="82"/>
    </row>
    <row r="7" spans="1:5" s="13" customFormat="1">
      <c r="A7" s="82" t="s">
        <v>435</v>
      </c>
      <c r="B7" s="105" t="s">
        <v>438</v>
      </c>
      <c r="C7" s="82" t="s">
        <v>439</v>
      </c>
      <c r="D7" s="82" t="s">
        <v>399</v>
      </c>
      <c r="E7" s="82"/>
    </row>
    <row r="8" spans="1:5" s="13" customFormat="1">
      <c r="A8" s="82" t="s">
        <v>435</v>
      </c>
      <c r="B8" s="105" t="s">
        <v>440</v>
      </c>
      <c r="C8" s="82" t="s">
        <v>439</v>
      </c>
      <c r="D8" s="82" t="s">
        <v>399</v>
      </c>
      <c r="E8" s="82"/>
    </row>
    <row r="9" spans="1:5" s="13" customFormat="1">
      <c r="A9" s="82" t="s">
        <v>441</v>
      </c>
      <c r="B9" s="105">
        <v>2521</v>
      </c>
      <c r="C9" s="82" t="s">
        <v>309</v>
      </c>
      <c r="D9" s="82" t="s">
        <v>399</v>
      </c>
      <c r="E9" s="82"/>
    </row>
    <row r="10" spans="1:5" s="13" customFormat="1">
      <c r="A10" s="82" t="s">
        <v>441</v>
      </c>
      <c r="B10" s="105">
        <v>2526</v>
      </c>
      <c r="C10" s="82" t="s">
        <v>309</v>
      </c>
      <c r="D10" s="82" t="s">
        <v>399</v>
      </c>
      <c r="E10" s="82"/>
    </row>
    <row r="11" spans="1:5" s="13" customFormat="1">
      <c r="A11" s="82" t="s">
        <v>441</v>
      </c>
      <c r="B11" s="105">
        <v>2530</v>
      </c>
      <c r="C11" s="82" t="s">
        <v>309</v>
      </c>
      <c r="D11" s="82" t="s">
        <v>399</v>
      </c>
      <c r="E11" s="82"/>
    </row>
    <row r="12" spans="1:5" s="13" customFormat="1">
      <c r="A12" s="82" t="s">
        <v>441</v>
      </c>
      <c r="B12" s="105">
        <v>2533</v>
      </c>
      <c r="C12" s="82" t="s">
        <v>309</v>
      </c>
      <c r="D12" s="82" t="s">
        <v>399</v>
      </c>
      <c r="E12" s="82"/>
    </row>
    <row r="13" spans="1:5" s="13" customFormat="1">
      <c r="A13" s="82" t="s">
        <v>441</v>
      </c>
      <c r="B13" s="105">
        <v>2555</v>
      </c>
      <c r="C13" s="82" t="s">
        <v>309</v>
      </c>
      <c r="D13" s="82" t="s">
        <v>399</v>
      </c>
      <c r="E13" s="82"/>
    </row>
    <row r="14" spans="1:5" s="13" customFormat="1">
      <c r="A14" s="82" t="s">
        <v>441</v>
      </c>
      <c r="B14" s="105">
        <v>2569</v>
      </c>
      <c r="C14" s="82" t="s">
        <v>309</v>
      </c>
      <c r="D14" s="82" t="s">
        <v>399</v>
      </c>
      <c r="E14" s="82"/>
    </row>
    <row r="15" spans="1:5" s="13" customFormat="1">
      <c r="A15" s="82" t="s">
        <v>441</v>
      </c>
      <c r="B15" s="105">
        <v>2571</v>
      </c>
      <c r="C15" s="82" t="s">
        <v>309</v>
      </c>
      <c r="D15" s="82" t="s">
        <v>399</v>
      </c>
      <c r="E15" s="82"/>
    </row>
    <row r="16" spans="1:5" s="13" customFormat="1">
      <c r="A16" s="82" t="s">
        <v>441</v>
      </c>
      <c r="B16" s="105">
        <v>2588</v>
      </c>
      <c r="C16" s="82" t="s">
        <v>309</v>
      </c>
      <c r="D16" s="82" t="s">
        <v>399</v>
      </c>
      <c r="E16" s="82"/>
    </row>
    <row r="17" spans="1:5" s="13" customFormat="1">
      <c r="A17" s="82" t="s">
        <v>441</v>
      </c>
      <c r="B17" s="105">
        <v>2591</v>
      </c>
      <c r="C17" s="82" t="s">
        <v>309</v>
      </c>
      <c r="D17" s="82" t="s">
        <v>399</v>
      </c>
      <c r="E17" s="82"/>
    </row>
    <row r="18" spans="1:5" s="13" customFormat="1">
      <c r="A18" s="82" t="s">
        <v>441</v>
      </c>
      <c r="B18" s="105">
        <v>2598</v>
      </c>
      <c r="C18" s="82" t="s">
        <v>312</v>
      </c>
      <c r="D18" s="82" t="s">
        <v>399</v>
      </c>
      <c r="E18" s="82"/>
    </row>
    <row r="19" spans="1:5" s="13" customFormat="1">
      <c r="A19" s="82" t="s">
        <v>441</v>
      </c>
      <c r="B19" s="105">
        <v>2612</v>
      </c>
      <c r="C19" s="82" t="s">
        <v>309</v>
      </c>
      <c r="D19" s="82" t="s">
        <v>399</v>
      </c>
      <c r="E19" s="82"/>
    </row>
    <row r="20" spans="1:5" s="13" customFormat="1">
      <c r="A20" s="82" t="s">
        <v>441</v>
      </c>
      <c r="B20" s="105">
        <v>2621</v>
      </c>
      <c r="C20" s="82" t="s">
        <v>312</v>
      </c>
      <c r="D20" s="82" t="s">
        <v>399</v>
      </c>
      <c r="E20" s="82"/>
    </row>
    <row r="21" spans="1:5" s="13" customFormat="1">
      <c r="A21" s="82" t="s">
        <v>441</v>
      </c>
      <c r="B21" s="105">
        <v>2624</v>
      </c>
      <c r="C21" s="82" t="s">
        <v>309</v>
      </c>
      <c r="D21" s="82" t="s">
        <v>399</v>
      </c>
      <c r="E21" s="82"/>
    </row>
    <row r="22" spans="1:5" s="13" customFormat="1">
      <c r="A22" s="82" t="s">
        <v>441</v>
      </c>
      <c r="B22" s="105">
        <v>2626</v>
      </c>
      <c r="C22" s="82" t="s">
        <v>309</v>
      </c>
      <c r="D22" s="82" t="s">
        <v>399</v>
      </c>
      <c r="E22" s="82"/>
    </row>
    <row r="23" spans="1:5" s="13" customFormat="1">
      <c r="A23" s="82" t="s">
        <v>441</v>
      </c>
      <c r="B23" s="105">
        <v>3019</v>
      </c>
      <c r="C23" s="82" t="s">
        <v>309</v>
      </c>
      <c r="D23" s="82" t="s">
        <v>399</v>
      </c>
      <c r="E23" s="82"/>
    </row>
    <row r="24" spans="1:5" s="13" customFormat="1">
      <c r="A24" s="82" t="s">
        <v>441</v>
      </c>
      <c r="B24" s="105">
        <v>3038</v>
      </c>
      <c r="C24" s="82" t="s">
        <v>309</v>
      </c>
      <c r="D24" s="82" t="s">
        <v>399</v>
      </c>
      <c r="E24" s="82"/>
    </row>
    <row r="25" spans="1:5" s="13" customFormat="1">
      <c r="A25" s="82" t="s">
        <v>441</v>
      </c>
      <c r="B25" s="105">
        <v>3203</v>
      </c>
      <c r="C25" s="82" t="s">
        <v>309</v>
      </c>
      <c r="D25" s="82" t="s">
        <v>399</v>
      </c>
      <c r="E25" s="82"/>
    </row>
    <row r="26" spans="1:5" s="13" customFormat="1">
      <c r="A26" s="82" t="s">
        <v>441</v>
      </c>
      <c r="B26" s="105">
        <v>3501</v>
      </c>
      <c r="C26" s="82" t="s">
        <v>309</v>
      </c>
      <c r="D26" s="82" t="s">
        <v>399</v>
      </c>
      <c r="E26" s="82"/>
    </row>
    <row r="27" spans="1:5" s="13" customFormat="1">
      <c r="A27" s="82" t="s">
        <v>441</v>
      </c>
      <c r="B27" s="105">
        <v>3503</v>
      </c>
      <c r="C27" s="82" t="s">
        <v>309</v>
      </c>
      <c r="D27" s="82" t="s">
        <v>399</v>
      </c>
      <c r="E27" s="82"/>
    </row>
    <row r="28" spans="1:5" s="13" customFormat="1">
      <c r="A28" s="82" t="s">
        <v>441</v>
      </c>
      <c r="B28" s="105">
        <v>3509</v>
      </c>
      <c r="C28" s="82" t="s">
        <v>309</v>
      </c>
      <c r="D28" s="82" t="s">
        <v>399</v>
      </c>
      <c r="E28" s="82"/>
    </row>
    <row r="29" spans="1:5" s="13" customFormat="1">
      <c r="A29" s="82" t="s">
        <v>441</v>
      </c>
      <c r="B29" s="105">
        <v>3534</v>
      </c>
      <c r="C29" s="82" t="s">
        <v>309</v>
      </c>
      <c r="D29" s="82" t="s">
        <v>399</v>
      </c>
      <c r="E29" s="82"/>
    </row>
    <row r="30" spans="1:5" s="13" customFormat="1">
      <c r="A30" s="82" t="s">
        <v>441</v>
      </c>
      <c r="B30" s="105">
        <v>3545</v>
      </c>
      <c r="C30" s="82" t="s">
        <v>309</v>
      </c>
      <c r="D30" s="82" t="s">
        <v>399</v>
      </c>
      <c r="E30" s="82"/>
    </row>
    <row r="31" spans="1:5" s="13" customFormat="1">
      <c r="A31" s="82" t="s">
        <v>441</v>
      </c>
      <c r="B31" s="105">
        <v>3558</v>
      </c>
      <c r="C31" s="82" t="s">
        <v>309</v>
      </c>
      <c r="D31" s="82" t="s">
        <v>399</v>
      </c>
      <c r="E31" s="82"/>
    </row>
    <row r="32" spans="1:5" s="13" customFormat="1">
      <c r="A32" s="82" t="s">
        <v>441</v>
      </c>
      <c r="B32" s="105">
        <v>3566</v>
      </c>
      <c r="C32" s="82" t="s">
        <v>309</v>
      </c>
      <c r="D32" s="82" t="s">
        <v>399</v>
      </c>
      <c r="E32" s="82"/>
    </row>
    <row r="33" spans="1:5" s="13" customFormat="1">
      <c r="A33" s="82" t="s">
        <v>441</v>
      </c>
      <c r="B33" s="105">
        <v>3570</v>
      </c>
      <c r="C33" s="82" t="s">
        <v>309</v>
      </c>
      <c r="D33" s="82" t="s">
        <v>399</v>
      </c>
      <c r="E33" s="82"/>
    </row>
    <row r="34" spans="1:5" s="13" customFormat="1">
      <c r="A34" s="82" t="s">
        <v>441</v>
      </c>
      <c r="B34" s="105">
        <v>3580</v>
      </c>
      <c r="C34" s="82" t="s">
        <v>312</v>
      </c>
      <c r="D34" s="82" t="s">
        <v>399</v>
      </c>
      <c r="E34" s="82"/>
    </row>
    <row r="35" spans="1:5" s="13" customFormat="1">
      <c r="A35" s="82" t="s">
        <v>441</v>
      </c>
      <c r="B35" s="105">
        <v>3606</v>
      </c>
      <c r="C35" s="82" t="s">
        <v>309</v>
      </c>
      <c r="D35" s="82" t="s">
        <v>399</v>
      </c>
      <c r="E35" s="82"/>
    </row>
    <row r="36" spans="1:5" s="13" customFormat="1">
      <c r="A36" s="82" t="s">
        <v>441</v>
      </c>
      <c r="B36" s="105">
        <v>3617</v>
      </c>
      <c r="C36" s="82" t="s">
        <v>309</v>
      </c>
      <c r="D36" s="82" t="s">
        <v>399</v>
      </c>
      <c r="E36" s="82"/>
    </row>
    <row r="37" spans="1:5" s="13" customFormat="1">
      <c r="A37" s="82" t="s">
        <v>441</v>
      </c>
      <c r="B37" s="105">
        <v>3618</v>
      </c>
      <c r="C37" s="82" t="s">
        <v>309</v>
      </c>
      <c r="D37" s="82" t="s">
        <v>399</v>
      </c>
      <c r="E37" s="82"/>
    </row>
    <row r="38" spans="1:5" s="13" customFormat="1">
      <c r="A38" s="82" t="s">
        <v>441</v>
      </c>
      <c r="B38" s="105">
        <v>3620</v>
      </c>
      <c r="C38" s="82" t="s">
        <v>309</v>
      </c>
      <c r="D38" s="82" t="s">
        <v>399</v>
      </c>
      <c r="E38" s="82"/>
    </row>
    <row r="39" spans="1:5" s="13" customFormat="1">
      <c r="A39" s="82" t="s">
        <v>441</v>
      </c>
      <c r="B39" s="105">
        <v>3678</v>
      </c>
      <c r="C39" s="82" t="s">
        <v>309</v>
      </c>
      <c r="D39" s="82" t="s">
        <v>399</v>
      </c>
      <c r="E39" s="82"/>
    </row>
    <row r="40" spans="1:5" s="13" customFormat="1">
      <c r="A40" s="82" t="s">
        <v>441</v>
      </c>
      <c r="B40" s="105">
        <v>3685</v>
      </c>
      <c r="C40" s="82" t="s">
        <v>312</v>
      </c>
      <c r="D40" s="82" t="s">
        <v>399</v>
      </c>
      <c r="E40" s="82"/>
    </row>
    <row r="41" spans="1:5" s="13" customFormat="1">
      <c r="A41" s="82" t="s">
        <v>441</v>
      </c>
      <c r="B41" s="105">
        <v>3694</v>
      </c>
      <c r="C41" s="82" t="s">
        <v>309</v>
      </c>
      <c r="D41" s="82" t="s">
        <v>399</v>
      </c>
      <c r="E41" s="82"/>
    </row>
    <row r="42" spans="1:5" s="13" customFormat="1">
      <c r="A42" s="82" t="s">
        <v>441</v>
      </c>
      <c r="B42" s="105">
        <v>3701</v>
      </c>
      <c r="C42" s="82" t="s">
        <v>309</v>
      </c>
      <c r="D42" s="82" t="s">
        <v>399</v>
      </c>
      <c r="E42" s="82"/>
    </row>
    <row r="43" spans="1:5" s="13" customFormat="1">
      <c r="A43" s="82" t="s">
        <v>441</v>
      </c>
      <c r="B43" s="105">
        <v>3715</v>
      </c>
      <c r="C43" s="82" t="s">
        <v>312</v>
      </c>
      <c r="D43" s="82" t="s">
        <v>399</v>
      </c>
      <c r="E43" s="82"/>
    </row>
    <row r="44" spans="1:5" s="13" customFormat="1">
      <c r="A44" s="82" t="s">
        <v>441</v>
      </c>
      <c r="B44" s="105">
        <v>3717</v>
      </c>
      <c r="C44" s="82" t="s">
        <v>309</v>
      </c>
      <c r="D44" s="82" t="s">
        <v>399</v>
      </c>
      <c r="E44" s="82"/>
    </row>
    <row r="45" spans="1:5" s="13" customFormat="1">
      <c r="A45" s="82" t="s">
        <v>441</v>
      </c>
      <c r="B45" s="105">
        <v>3734</v>
      </c>
      <c r="C45" s="82" t="s">
        <v>312</v>
      </c>
      <c r="D45" s="82" t="s">
        <v>399</v>
      </c>
      <c r="E45" s="82"/>
    </row>
    <row r="46" spans="1:5" s="13" customFormat="1">
      <c r="A46" s="82" t="s">
        <v>441</v>
      </c>
      <c r="B46" s="105">
        <v>3738</v>
      </c>
      <c r="C46" s="82" t="s">
        <v>309</v>
      </c>
      <c r="D46" s="82" t="s">
        <v>399</v>
      </c>
      <c r="E46" s="82"/>
    </row>
    <row r="47" spans="1:5" s="13" customFormat="1">
      <c r="A47" s="82" t="s">
        <v>441</v>
      </c>
      <c r="B47" s="105">
        <v>3749</v>
      </c>
      <c r="C47" s="82" t="s">
        <v>309</v>
      </c>
      <c r="D47" s="82" t="s">
        <v>399</v>
      </c>
      <c r="E47" s="82"/>
    </row>
    <row r="48" spans="1:5" s="13" customFormat="1">
      <c r="A48" s="82" t="s">
        <v>441</v>
      </c>
      <c r="B48" s="105">
        <v>3753</v>
      </c>
      <c r="C48" s="82" t="s">
        <v>309</v>
      </c>
      <c r="D48" s="82" t="s">
        <v>399</v>
      </c>
      <c r="E48" s="82"/>
    </row>
    <row r="49" spans="1:5" s="13" customFormat="1">
      <c r="A49" s="82" t="s">
        <v>441</v>
      </c>
      <c r="B49" s="105">
        <v>3765</v>
      </c>
      <c r="C49" s="82" t="s">
        <v>309</v>
      </c>
      <c r="D49" s="82" t="s">
        <v>399</v>
      </c>
      <c r="E49" s="82"/>
    </row>
    <row r="50" spans="1:5" s="13" customFormat="1">
      <c r="A50" s="82" t="s">
        <v>441</v>
      </c>
      <c r="B50" s="105">
        <v>3768</v>
      </c>
      <c r="C50" s="82" t="s">
        <v>309</v>
      </c>
      <c r="D50" s="82" t="s">
        <v>399</v>
      </c>
      <c r="E50" s="82"/>
    </row>
    <row r="51" spans="1:5" s="13" customFormat="1">
      <c r="A51" s="82" t="s">
        <v>441</v>
      </c>
      <c r="B51" s="105">
        <v>3770</v>
      </c>
      <c r="C51" s="82" t="s">
        <v>309</v>
      </c>
      <c r="D51" s="82" t="s">
        <v>399</v>
      </c>
      <c r="E51" s="82"/>
    </row>
    <row r="52" spans="1:5" s="13" customFormat="1">
      <c r="A52" s="82" t="s">
        <v>441</v>
      </c>
      <c r="B52" s="105">
        <v>3811</v>
      </c>
      <c r="C52" s="82" t="s">
        <v>309</v>
      </c>
      <c r="D52" s="82" t="s">
        <v>399</v>
      </c>
      <c r="E52" s="82"/>
    </row>
    <row r="53" spans="1:5" s="13" customFormat="1">
      <c r="A53" s="82" t="s">
        <v>442</v>
      </c>
      <c r="B53" s="105" t="s">
        <v>443</v>
      </c>
      <c r="C53" s="82" t="s">
        <v>308</v>
      </c>
      <c r="D53" s="82" t="s">
        <v>444</v>
      </c>
      <c r="E53" s="82"/>
    </row>
    <row r="54" spans="1:5" s="13" customFormat="1">
      <c r="A54" s="82" t="s">
        <v>442</v>
      </c>
      <c r="B54" s="105" t="s">
        <v>394</v>
      </c>
      <c r="C54" s="82" t="s">
        <v>309</v>
      </c>
      <c r="D54" s="82" t="s">
        <v>444</v>
      </c>
      <c r="E54" s="82"/>
    </row>
    <row r="55" spans="1:5" s="13" customFormat="1">
      <c r="A55" s="82" t="s">
        <v>442</v>
      </c>
      <c r="B55" s="105" t="s">
        <v>395</v>
      </c>
      <c r="C55" s="82" t="s">
        <v>309</v>
      </c>
      <c r="D55" s="82" t="s">
        <v>444</v>
      </c>
      <c r="E55" s="82"/>
    </row>
    <row r="56" spans="1:5" s="13" customFormat="1">
      <c r="A56" s="82" t="s">
        <v>442</v>
      </c>
      <c r="B56" s="105" t="s">
        <v>445</v>
      </c>
      <c r="C56" s="82" t="s">
        <v>309</v>
      </c>
      <c r="D56" s="82" t="s">
        <v>444</v>
      </c>
      <c r="E56" s="82"/>
    </row>
    <row r="57" spans="1:5" s="13" customFormat="1">
      <c r="A57" s="82" t="s">
        <v>442</v>
      </c>
      <c r="B57" s="105" t="s">
        <v>396</v>
      </c>
      <c r="C57" s="82" t="s">
        <v>309</v>
      </c>
      <c r="D57" s="82" t="s">
        <v>444</v>
      </c>
      <c r="E57" s="82"/>
    </row>
    <row r="58" spans="1:5" s="13" customFormat="1">
      <c r="A58" s="82" t="s">
        <v>442</v>
      </c>
      <c r="B58" s="105" t="s">
        <v>446</v>
      </c>
      <c r="C58" s="82" t="s">
        <v>308</v>
      </c>
      <c r="D58" s="82" t="s">
        <v>444</v>
      </c>
      <c r="E58" s="82"/>
    </row>
    <row r="59" spans="1:5" s="13" customFormat="1">
      <c r="A59" s="82" t="s">
        <v>442</v>
      </c>
      <c r="B59" s="105" t="s">
        <v>447</v>
      </c>
      <c r="C59" s="82" t="s">
        <v>308</v>
      </c>
      <c r="D59" s="82" t="s">
        <v>444</v>
      </c>
      <c r="E59" s="82"/>
    </row>
    <row r="60" spans="1:5" s="13" customFormat="1">
      <c r="A60" s="82" t="s">
        <v>442</v>
      </c>
      <c r="B60" s="105" t="s">
        <v>507</v>
      </c>
      <c r="C60" s="82" t="s">
        <v>309</v>
      </c>
      <c r="D60" s="82" t="s">
        <v>444</v>
      </c>
      <c r="E60" s="82"/>
    </row>
    <row r="61" spans="1:5" s="13" customFormat="1">
      <c r="A61" s="82" t="s">
        <v>442</v>
      </c>
      <c r="B61" s="105" t="s">
        <v>448</v>
      </c>
      <c r="C61" s="82" t="s">
        <v>308</v>
      </c>
      <c r="D61" s="82" t="s">
        <v>444</v>
      </c>
      <c r="E61" s="82"/>
    </row>
    <row r="62" spans="1:5" s="13" customFormat="1">
      <c r="A62" s="82" t="s">
        <v>442</v>
      </c>
      <c r="B62" s="105" t="s">
        <v>449</v>
      </c>
      <c r="C62" s="82" t="s">
        <v>308</v>
      </c>
      <c r="D62" s="82" t="s">
        <v>444</v>
      </c>
      <c r="E62" s="82"/>
    </row>
    <row r="63" spans="1:5" s="13" customFormat="1">
      <c r="A63" s="82" t="s">
        <v>442</v>
      </c>
      <c r="B63" s="105" t="s">
        <v>397</v>
      </c>
      <c r="C63" s="82" t="s">
        <v>309</v>
      </c>
      <c r="D63" s="82" t="s">
        <v>444</v>
      </c>
      <c r="E63" s="82"/>
    </row>
    <row r="64" spans="1:5" s="13" customFormat="1">
      <c r="A64" s="82" t="s">
        <v>442</v>
      </c>
      <c r="B64" s="105" t="s">
        <v>398</v>
      </c>
      <c r="C64" s="82" t="s">
        <v>309</v>
      </c>
      <c r="D64" s="82" t="s">
        <v>444</v>
      </c>
      <c r="E64" s="82"/>
    </row>
    <row r="65" spans="1:5" s="13" customFormat="1">
      <c r="A65" s="82" t="s">
        <v>451</v>
      </c>
      <c r="B65" s="105" t="s">
        <v>452</v>
      </c>
      <c r="C65" s="82" t="s">
        <v>456</v>
      </c>
      <c r="D65" s="82" t="s">
        <v>457</v>
      </c>
      <c r="E65" s="82"/>
    </row>
    <row r="66" spans="1:5" s="13" customFormat="1">
      <c r="A66" s="82" t="s">
        <v>451</v>
      </c>
      <c r="B66" s="105" t="s">
        <v>453</v>
      </c>
      <c r="C66" s="82" t="s">
        <v>456</v>
      </c>
      <c r="D66" s="82" t="s">
        <v>458</v>
      </c>
      <c r="E66" s="82"/>
    </row>
    <row r="67" spans="1:5" s="13" customFormat="1">
      <c r="A67" s="82" t="s">
        <v>451</v>
      </c>
      <c r="B67" s="105" t="s">
        <v>454</v>
      </c>
      <c r="C67" s="82" t="s">
        <v>456</v>
      </c>
      <c r="D67" s="82" t="s">
        <v>458</v>
      </c>
      <c r="E67" s="82"/>
    </row>
    <row r="68" spans="1:5" s="13" customFormat="1">
      <c r="A68" s="82" t="s">
        <v>451</v>
      </c>
      <c r="B68" s="105" t="s">
        <v>455</v>
      </c>
      <c r="C68" s="82" t="s">
        <v>456</v>
      </c>
      <c r="D68" s="82" t="s">
        <v>458</v>
      </c>
      <c r="E68" s="82"/>
    </row>
    <row r="69" spans="1:5" s="13" customFormat="1">
      <c r="A69" s="82" t="s">
        <v>451</v>
      </c>
      <c r="B69" s="105" t="s">
        <v>506</v>
      </c>
      <c r="C69" s="82" t="s">
        <v>456</v>
      </c>
      <c r="D69" s="82" t="s">
        <v>458</v>
      </c>
      <c r="E69" s="82"/>
    </row>
    <row r="70" spans="1:5" s="13" customFormat="1">
      <c r="A70" s="82" t="s">
        <v>461</v>
      </c>
      <c r="B70" s="105">
        <v>14</v>
      </c>
      <c r="C70" s="82" t="s">
        <v>340</v>
      </c>
      <c r="D70" s="82" t="s">
        <v>462</v>
      </c>
      <c r="E70" s="82" t="s">
        <v>467</v>
      </c>
    </row>
    <row r="71" spans="1:5" s="13" customFormat="1">
      <c r="A71" s="82" t="s">
        <v>461</v>
      </c>
      <c r="B71" s="105">
        <v>37</v>
      </c>
      <c r="C71" s="82" t="s">
        <v>340</v>
      </c>
      <c r="D71" s="82" t="s">
        <v>462</v>
      </c>
      <c r="E71" s="82" t="s">
        <v>465</v>
      </c>
    </row>
    <row r="72" spans="1:5" s="13" customFormat="1">
      <c r="A72" s="82" t="s">
        <v>461</v>
      </c>
      <c r="B72" s="105">
        <v>40</v>
      </c>
      <c r="C72" s="82" t="s">
        <v>340</v>
      </c>
      <c r="D72" s="82" t="s">
        <v>462</v>
      </c>
      <c r="E72" s="82" t="s">
        <v>465</v>
      </c>
    </row>
    <row r="73" spans="1:5" s="13" customFormat="1">
      <c r="A73" s="82" t="s">
        <v>461</v>
      </c>
      <c r="B73" s="105">
        <v>46</v>
      </c>
      <c r="C73" s="82" t="s">
        <v>340</v>
      </c>
      <c r="D73" s="82" t="s">
        <v>463</v>
      </c>
      <c r="E73" s="107" t="s">
        <v>466</v>
      </c>
    </row>
    <row r="74" spans="1:5" s="13" customFormat="1">
      <c r="A74" s="82" t="s">
        <v>461</v>
      </c>
      <c r="B74" s="105">
        <v>74</v>
      </c>
      <c r="C74" s="82" t="s">
        <v>340</v>
      </c>
      <c r="D74" s="82" t="s">
        <v>471</v>
      </c>
      <c r="E74" s="107" t="s">
        <v>468</v>
      </c>
    </row>
    <row r="75" spans="1:5" s="13" customFormat="1">
      <c r="A75" s="82" t="s">
        <v>461</v>
      </c>
      <c r="B75" s="105">
        <v>20</v>
      </c>
      <c r="C75" s="82" t="s">
        <v>340</v>
      </c>
      <c r="D75" s="82" t="s">
        <v>470</v>
      </c>
      <c r="E75" s="107" t="s">
        <v>469</v>
      </c>
    </row>
    <row r="76" spans="1:5" s="13" customFormat="1">
      <c r="A76" s="82" t="s">
        <v>461</v>
      </c>
      <c r="B76" s="105">
        <v>81</v>
      </c>
      <c r="C76" s="82" t="s">
        <v>340</v>
      </c>
      <c r="D76" s="82" t="s">
        <v>472</v>
      </c>
      <c r="E76" s="107" t="s">
        <v>473</v>
      </c>
    </row>
    <row r="77" spans="1:5" s="13" customFormat="1">
      <c r="A77" s="82" t="s">
        <v>461</v>
      </c>
      <c r="B77" s="105">
        <v>62</v>
      </c>
      <c r="C77" s="82" t="s">
        <v>340</v>
      </c>
      <c r="D77" s="82" t="s">
        <v>475</v>
      </c>
      <c r="E77" s="107" t="s">
        <v>474</v>
      </c>
    </row>
    <row r="78" spans="1:5" s="13" customFormat="1">
      <c r="A78" s="82" t="s">
        <v>461</v>
      </c>
      <c r="B78" s="105">
        <v>43</v>
      </c>
      <c r="C78" s="82" t="s">
        <v>340</v>
      </c>
      <c r="D78" s="82" t="s">
        <v>477</v>
      </c>
      <c r="E78" s="107" t="s">
        <v>476</v>
      </c>
    </row>
    <row r="79" spans="1:5" s="13" customFormat="1">
      <c r="A79" s="82" t="s">
        <v>461</v>
      </c>
      <c r="B79" s="105">
        <v>29</v>
      </c>
      <c r="C79" s="82" t="s">
        <v>340</v>
      </c>
      <c r="D79" s="82" t="s">
        <v>475</v>
      </c>
      <c r="E79" s="107" t="s">
        <v>474</v>
      </c>
    </row>
    <row r="80" spans="1:5" s="13" customFormat="1">
      <c r="A80" s="82" t="s">
        <v>461</v>
      </c>
      <c r="B80" s="105">
        <v>15</v>
      </c>
      <c r="C80" s="82" t="s">
        <v>340</v>
      </c>
      <c r="D80" s="82" t="s">
        <v>478</v>
      </c>
      <c r="E80" s="107" t="s">
        <v>479</v>
      </c>
    </row>
    <row r="81" spans="1:5" s="13" customFormat="1">
      <c r="A81" s="82" t="s">
        <v>461</v>
      </c>
      <c r="B81" s="105">
        <v>75</v>
      </c>
      <c r="C81" s="82" t="s">
        <v>340</v>
      </c>
      <c r="D81" s="82" t="s">
        <v>480</v>
      </c>
      <c r="E81" s="107" t="s">
        <v>490</v>
      </c>
    </row>
    <row r="82" spans="1:5" s="13" customFormat="1">
      <c r="A82" s="82" t="s">
        <v>461</v>
      </c>
      <c r="B82" s="105">
        <v>65</v>
      </c>
      <c r="C82" s="82" t="s">
        <v>340</v>
      </c>
      <c r="D82" s="82" t="s">
        <v>472</v>
      </c>
      <c r="E82" s="107" t="s">
        <v>481</v>
      </c>
    </row>
    <row r="83" spans="1:5" s="13" customFormat="1">
      <c r="A83" s="108" t="s">
        <v>461</v>
      </c>
      <c r="B83" s="109">
        <v>61</v>
      </c>
      <c r="C83" s="108" t="s">
        <v>340</v>
      </c>
      <c r="D83" s="108" t="s">
        <v>482</v>
      </c>
      <c r="E83" s="110" t="s">
        <v>495</v>
      </c>
    </row>
    <row r="84" spans="1:5" s="13" customFormat="1">
      <c r="A84" s="108" t="s">
        <v>461</v>
      </c>
      <c r="B84" s="109">
        <v>32</v>
      </c>
      <c r="C84" s="108" t="s">
        <v>340</v>
      </c>
      <c r="D84" s="108" t="s">
        <v>483</v>
      </c>
      <c r="E84" s="110" t="s">
        <v>496</v>
      </c>
    </row>
    <row r="85" spans="1:5" s="13" customFormat="1">
      <c r="A85" s="108" t="s">
        <v>461</v>
      </c>
      <c r="B85" s="109">
        <v>48</v>
      </c>
      <c r="C85" s="108" t="s">
        <v>340</v>
      </c>
      <c r="D85" s="108" t="s">
        <v>484</v>
      </c>
      <c r="E85" s="110" t="s">
        <v>497</v>
      </c>
    </row>
    <row r="86" spans="1:5" s="13" customFormat="1">
      <c r="A86" s="82" t="s">
        <v>461</v>
      </c>
      <c r="B86" s="105">
        <v>64</v>
      </c>
      <c r="C86" s="82" t="s">
        <v>340</v>
      </c>
      <c r="D86" s="82" t="s">
        <v>485</v>
      </c>
      <c r="E86" s="82"/>
    </row>
    <row r="87" spans="1:5" s="13" customFormat="1">
      <c r="A87" s="82" t="s">
        <v>461</v>
      </c>
      <c r="B87" s="105">
        <v>44</v>
      </c>
      <c r="C87" s="82" t="s">
        <v>340</v>
      </c>
      <c r="D87" s="82" t="s">
        <v>486</v>
      </c>
      <c r="E87" s="82"/>
    </row>
    <row r="88" spans="1:5" s="13" customFormat="1">
      <c r="A88" s="82" t="s">
        <v>461</v>
      </c>
      <c r="B88" s="105">
        <v>63</v>
      </c>
      <c r="C88" s="82" t="s">
        <v>340</v>
      </c>
      <c r="D88" s="82" t="s">
        <v>486</v>
      </c>
      <c r="E88" s="82"/>
    </row>
    <row r="89" spans="1:5" s="13" customFormat="1">
      <c r="A89" s="82" t="s">
        <v>461</v>
      </c>
      <c r="B89" s="105">
        <v>42</v>
      </c>
      <c r="C89" s="82" t="s">
        <v>340</v>
      </c>
      <c r="D89" s="82" t="s">
        <v>488</v>
      </c>
      <c r="E89" s="107" t="s">
        <v>487</v>
      </c>
    </row>
    <row r="90" spans="1:5" s="13" customFormat="1">
      <c r="A90" s="82" t="s">
        <v>461</v>
      </c>
      <c r="B90" s="105">
        <v>41</v>
      </c>
      <c r="C90" s="82" t="s">
        <v>340</v>
      </c>
      <c r="D90" s="82" t="s">
        <v>472</v>
      </c>
      <c r="E90" s="107" t="s">
        <v>473</v>
      </c>
    </row>
    <row r="91" spans="1:5" s="13" customFormat="1">
      <c r="A91" s="108" t="s">
        <v>461</v>
      </c>
      <c r="B91" s="109">
        <v>59</v>
      </c>
      <c r="C91" s="108" t="s">
        <v>340</v>
      </c>
      <c r="D91" s="108" t="s">
        <v>489</v>
      </c>
      <c r="E91" s="110" t="s">
        <v>495</v>
      </c>
    </row>
    <row r="92" spans="1:5" s="13" customFormat="1">
      <c r="A92" s="82" t="s">
        <v>461</v>
      </c>
      <c r="B92" s="105">
        <v>13</v>
      </c>
      <c r="C92" s="82" t="s">
        <v>340</v>
      </c>
      <c r="D92" s="82" t="s">
        <v>472</v>
      </c>
      <c r="E92" s="107" t="s">
        <v>481</v>
      </c>
    </row>
    <row r="93" spans="1:5" s="13" customFormat="1">
      <c r="A93" s="82" t="s">
        <v>461</v>
      </c>
      <c r="B93" s="105">
        <v>54</v>
      </c>
      <c r="C93" s="82" t="s">
        <v>340</v>
      </c>
      <c r="D93" s="82" t="s">
        <v>480</v>
      </c>
      <c r="E93" s="107" t="s">
        <v>490</v>
      </c>
    </row>
    <row r="94" spans="1:5" s="13" customFormat="1">
      <c r="A94" s="82" t="s">
        <v>461</v>
      </c>
      <c r="B94" s="105">
        <v>18</v>
      </c>
      <c r="C94" s="82" t="s">
        <v>340</v>
      </c>
      <c r="D94" s="82" t="s">
        <v>491</v>
      </c>
      <c r="E94" s="107"/>
    </row>
    <row r="95" spans="1:5" s="13" customFormat="1">
      <c r="A95" s="82" t="s">
        <v>461</v>
      </c>
      <c r="B95" s="105">
        <v>79</v>
      </c>
      <c r="C95" s="82" t="s">
        <v>340</v>
      </c>
      <c r="D95" s="82" t="s">
        <v>492</v>
      </c>
      <c r="E95" s="107"/>
    </row>
    <row r="96" spans="1:5" s="13" customFormat="1">
      <c r="A96" s="82" t="s">
        <v>461</v>
      </c>
      <c r="B96" s="105">
        <v>80</v>
      </c>
      <c r="C96" s="82" t="s">
        <v>340</v>
      </c>
      <c r="D96" s="82" t="s">
        <v>493</v>
      </c>
      <c r="E96" s="82"/>
    </row>
    <row r="97" spans="1:5" s="13" customFormat="1">
      <c r="A97" s="82" t="s">
        <v>461</v>
      </c>
      <c r="B97" s="105">
        <v>22</v>
      </c>
      <c r="C97" s="82" t="s">
        <v>340</v>
      </c>
      <c r="D97" s="82" t="s">
        <v>478</v>
      </c>
      <c r="E97" s="107" t="s">
        <v>494</v>
      </c>
    </row>
    <row r="98" spans="1:5" s="13" customFormat="1">
      <c r="A98" s="82" t="s">
        <v>461</v>
      </c>
      <c r="B98" s="105">
        <v>77</v>
      </c>
      <c r="C98" s="82" t="s">
        <v>340</v>
      </c>
      <c r="D98" s="82" t="s">
        <v>492</v>
      </c>
      <c r="E98" s="82"/>
    </row>
    <row r="99" spans="1:5" s="13" customFormat="1">
      <c r="A99" s="108" t="s">
        <v>461</v>
      </c>
      <c r="B99" s="109">
        <v>10</v>
      </c>
      <c r="C99" s="108" t="s">
        <v>340</v>
      </c>
      <c r="D99" s="108" t="s">
        <v>477</v>
      </c>
      <c r="E99" s="110" t="s">
        <v>496</v>
      </c>
    </row>
    <row r="100" spans="1:5" s="13" customFormat="1">
      <c r="A100" s="108" t="s">
        <v>461</v>
      </c>
      <c r="B100" s="109">
        <v>9</v>
      </c>
      <c r="C100" s="108" t="s">
        <v>340</v>
      </c>
      <c r="D100" s="108" t="s">
        <v>489</v>
      </c>
      <c r="E100" s="110" t="s">
        <v>495</v>
      </c>
    </row>
    <row r="101" spans="1:5" s="13" customFormat="1">
      <c r="A101" s="108" t="s">
        <v>461</v>
      </c>
      <c r="B101" s="109">
        <v>8</v>
      </c>
      <c r="C101" s="108" t="s">
        <v>340</v>
      </c>
      <c r="D101" s="108" t="s">
        <v>477</v>
      </c>
      <c r="E101" s="110" t="s">
        <v>496</v>
      </c>
    </row>
    <row r="102" spans="1:5" s="13" customFormat="1">
      <c r="A102" s="108" t="s">
        <v>461</v>
      </c>
      <c r="B102" s="109">
        <v>38</v>
      </c>
      <c r="C102" s="108" t="s">
        <v>340</v>
      </c>
      <c r="D102" s="108" t="s">
        <v>477</v>
      </c>
      <c r="E102" s="110" t="s">
        <v>496</v>
      </c>
    </row>
    <row r="103" spans="1:5" s="13" customFormat="1">
      <c r="A103" s="108" t="s">
        <v>461</v>
      </c>
      <c r="B103" s="109">
        <v>69</v>
      </c>
      <c r="C103" s="108" t="s">
        <v>340</v>
      </c>
      <c r="D103" s="108" t="s">
        <v>484</v>
      </c>
      <c r="E103" s="110" t="s">
        <v>497</v>
      </c>
    </row>
    <row r="104" spans="1:5" s="13" customFormat="1">
      <c r="A104" s="82" t="s">
        <v>461</v>
      </c>
      <c r="B104" s="105">
        <v>5</v>
      </c>
      <c r="C104" s="82" t="s">
        <v>340</v>
      </c>
      <c r="D104" s="82" t="s">
        <v>493</v>
      </c>
      <c r="E104" s="82"/>
    </row>
    <row r="105" spans="1:5" s="13" customFormat="1">
      <c r="A105" s="82" t="s">
        <v>461</v>
      </c>
      <c r="B105" s="105">
        <v>52</v>
      </c>
      <c r="C105" s="82" t="s">
        <v>340</v>
      </c>
      <c r="D105" s="82" t="s">
        <v>498</v>
      </c>
      <c r="E105" s="82"/>
    </row>
    <row r="106" spans="1:5" s="13" customFormat="1">
      <c r="A106" s="82" t="s">
        <v>461</v>
      </c>
      <c r="B106" s="105">
        <v>58</v>
      </c>
      <c r="C106" s="82" t="s">
        <v>340</v>
      </c>
      <c r="D106" s="82" t="s">
        <v>499</v>
      </c>
      <c r="E106" s="82"/>
    </row>
    <row r="107" spans="1:5" s="13" customFormat="1">
      <c r="A107" s="108" t="s">
        <v>461</v>
      </c>
      <c r="B107" s="109">
        <v>21</v>
      </c>
      <c r="C107" s="108" t="s">
        <v>340</v>
      </c>
      <c r="D107" s="108" t="s">
        <v>484</v>
      </c>
      <c r="E107" s="110" t="s">
        <v>497</v>
      </c>
    </row>
    <row r="108" spans="1:5" s="13" customFormat="1">
      <c r="A108" s="82" t="s">
        <v>461</v>
      </c>
      <c r="B108" s="105">
        <v>85</v>
      </c>
      <c r="C108" s="82" t="s">
        <v>340</v>
      </c>
      <c r="D108" s="82" t="s">
        <v>486</v>
      </c>
      <c r="E108" s="82"/>
    </row>
    <row r="109" spans="1:5" s="13" customFormat="1">
      <c r="A109" s="82" t="s">
        <v>461</v>
      </c>
      <c r="B109" s="105">
        <v>53</v>
      </c>
      <c r="C109" s="82" t="s">
        <v>340</v>
      </c>
      <c r="D109" s="82" t="s">
        <v>499</v>
      </c>
      <c r="E109" s="82"/>
    </row>
    <row r="110" spans="1:5" s="13" customFormat="1">
      <c r="A110" s="82" t="s">
        <v>461</v>
      </c>
      <c r="B110" s="105">
        <v>51</v>
      </c>
      <c r="C110" s="82" t="s">
        <v>340</v>
      </c>
      <c r="D110" s="82" t="s">
        <v>499</v>
      </c>
      <c r="E110" s="82"/>
    </row>
    <row r="111" spans="1:5" s="13" customFormat="1">
      <c r="A111" s="82" t="s">
        <v>461</v>
      </c>
      <c r="B111" s="105">
        <v>72</v>
      </c>
      <c r="C111" s="82" t="s">
        <v>340</v>
      </c>
      <c r="D111" s="82" t="s">
        <v>500</v>
      </c>
      <c r="E111" s="82"/>
    </row>
    <row r="112" spans="1:5" s="13" customFormat="1">
      <c r="A112" s="82" t="s">
        <v>461</v>
      </c>
      <c r="B112" s="105">
        <v>60</v>
      </c>
      <c r="C112" s="82" t="s">
        <v>340</v>
      </c>
      <c r="D112" s="82" t="s">
        <v>498</v>
      </c>
      <c r="E112" s="82"/>
    </row>
    <row r="113" spans="1:5" s="13" customFormat="1">
      <c r="A113" s="82" t="s">
        <v>461</v>
      </c>
      <c r="B113" s="105">
        <v>82</v>
      </c>
      <c r="C113" s="82" t="s">
        <v>340</v>
      </c>
      <c r="D113" s="82" t="s">
        <v>493</v>
      </c>
      <c r="E113" s="82"/>
    </row>
    <row r="114" spans="1:5" s="13" customFormat="1">
      <c r="A114" s="82" t="s">
        <v>461</v>
      </c>
      <c r="B114" s="105">
        <v>3</v>
      </c>
      <c r="C114" s="82" t="s">
        <v>340</v>
      </c>
      <c r="D114" s="82" t="s">
        <v>511</v>
      </c>
      <c r="E114" s="82"/>
    </row>
    <row r="115" spans="1:5" s="13" customFormat="1">
      <c r="A115" s="82" t="s">
        <v>461</v>
      </c>
      <c r="B115" s="105">
        <v>12</v>
      </c>
      <c r="C115" s="82" t="s">
        <v>340</v>
      </c>
      <c r="D115" s="82" t="s">
        <v>512</v>
      </c>
      <c r="E115" s="82"/>
    </row>
    <row r="116" spans="1:5" s="13" customFormat="1">
      <c r="A116" s="82" t="s">
        <v>461</v>
      </c>
      <c r="B116" s="105">
        <v>23</v>
      </c>
      <c r="C116" s="82" t="s">
        <v>340</v>
      </c>
      <c r="D116" s="82" t="s">
        <v>511</v>
      </c>
      <c r="E116" s="82"/>
    </row>
    <row r="117" spans="1:5" s="13" customFormat="1">
      <c r="A117" s="82" t="s">
        <v>502</v>
      </c>
      <c r="B117" s="105" t="s">
        <v>173</v>
      </c>
      <c r="C117" s="82" t="s">
        <v>352</v>
      </c>
      <c r="D117" s="82" t="s">
        <v>510</v>
      </c>
      <c r="E117" s="82"/>
    </row>
    <row r="118" spans="1:5" s="13" customFormat="1">
      <c r="A118" s="82" t="s">
        <v>502</v>
      </c>
      <c r="B118" s="105" t="s">
        <v>184</v>
      </c>
      <c r="C118" s="82" t="s">
        <v>352</v>
      </c>
      <c r="D118" s="82" t="s">
        <v>508</v>
      </c>
      <c r="E118" s="82"/>
    </row>
    <row r="119" spans="1:5" s="13" customFormat="1">
      <c r="A119" s="82" t="s">
        <v>502</v>
      </c>
      <c r="B119" s="105" t="s">
        <v>195</v>
      </c>
      <c r="C119" s="82" t="s">
        <v>352</v>
      </c>
      <c r="D119" s="82" t="s">
        <v>509</v>
      </c>
      <c r="E119" s="82"/>
    </row>
    <row r="120" spans="1:5" s="13" customFormat="1">
      <c r="A120" s="82" t="s">
        <v>502</v>
      </c>
      <c r="B120" s="105" t="s">
        <v>200</v>
      </c>
      <c r="C120" s="82" t="s">
        <v>352</v>
      </c>
      <c r="D120" s="82" t="s">
        <v>510</v>
      </c>
      <c r="E120" s="82"/>
    </row>
    <row r="121" spans="1:5" s="13" customFormat="1">
      <c r="A121" s="82" t="s">
        <v>502</v>
      </c>
      <c r="B121" s="105" t="s">
        <v>202</v>
      </c>
      <c r="C121" s="82" t="s">
        <v>352</v>
      </c>
      <c r="D121" s="82" t="s">
        <v>503</v>
      </c>
      <c r="E121" s="82"/>
    </row>
    <row r="122" spans="1:5" s="13" customFormat="1">
      <c r="A122" s="82" t="s">
        <v>502</v>
      </c>
      <c r="B122" s="105" t="s">
        <v>226</v>
      </c>
      <c r="C122" s="82" t="s">
        <v>352</v>
      </c>
      <c r="D122" s="82" t="s">
        <v>510</v>
      </c>
      <c r="E122" s="82"/>
    </row>
    <row r="123" spans="1:5" s="13" customFormat="1">
      <c r="A123" s="82"/>
      <c r="B123" s="105"/>
      <c r="C123" s="82"/>
      <c r="D123" s="82"/>
      <c r="E123" s="82"/>
    </row>
  </sheetData>
  <autoFilter ref="A3:E121" xr:uid="{00000000-0009-0000-0000-000012000000}"/>
  <mergeCells count="2">
    <mergeCell ref="A1:E1"/>
    <mergeCell ref="A2:E2"/>
  </mergeCells>
  <pageMargins left="0.70866141732283472" right="0.19685039370078741" top="0.74803149606299213" bottom="0.74803149606299213" header="0.31496062992125984" footer="0.31496062992125984"/>
  <pageSetup paperSize="9" scale="82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4</vt:i4>
      </vt:variant>
    </vt:vector>
  </HeadingPairs>
  <TitlesOfParts>
    <vt:vector size="23" baseType="lpstr">
      <vt:lpstr>LGR CCEE CSR</vt:lpstr>
      <vt:lpstr>LGR RESUMEN CCEE CSR</vt:lpstr>
      <vt:lpstr>LGR CCEE</vt:lpstr>
      <vt:lpstr>LGR RESUMEN CCEE</vt:lpstr>
      <vt:lpstr>LGR LOCS</vt:lpstr>
      <vt:lpstr>LGR RESUMEN LOCS</vt:lpstr>
      <vt:lpstr>LGR CCRR</vt:lpstr>
      <vt:lpstr>LGR RESUMEN CCRR</vt:lpstr>
      <vt:lpstr>LGR LOCS CNR</vt:lpstr>
      <vt:lpstr>LGR RESUMEN LOCS CNR</vt:lpstr>
      <vt:lpstr>LGR CCRR CNR</vt:lpstr>
      <vt:lpstr>LGR RESUMEN CCRR CNR</vt:lpstr>
      <vt:lpstr>LGR CCMM NOHAB</vt:lpstr>
      <vt:lpstr>LGR RESUMEN CCMM NOHAB</vt:lpstr>
      <vt:lpstr>LGR VAGONES</vt:lpstr>
      <vt:lpstr>LGR RESUMEN VAGONES</vt:lpstr>
      <vt:lpstr>LGR MR AUXILIAR</vt:lpstr>
      <vt:lpstr>LGR RESUMEN MR AUXILIAR</vt:lpstr>
      <vt:lpstr>Anexo I</vt:lpstr>
      <vt:lpstr>'Anexo I'!Títulos_a_imprimir</vt:lpstr>
      <vt:lpstr>'LGR CCEE CSR'!Títulos_a_imprimir</vt:lpstr>
      <vt:lpstr>'LGR CCRR'!Títulos_a_imprimir</vt:lpstr>
      <vt:lpstr>'LGR CCRR CNR'!Títulos_a_imprimir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Salamone</dc:creator>
  <cp:keywords>Version con ABC x RP</cp:keywords>
  <cp:lastModifiedBy>Pablo Salamone</cp:lastModifiedBy>
  <cp:lastPrinted>2026-01-15T16:36:09Z</cp:lastPrinted>
  <dcterms:created xsi:type="dcterms:W3CDTF">2017-11-17T15:25:14Z</dcterms:created>
  <dcterms:modified xsi:type="dcterms:W3CDTF">2026-02-01T20:50:54Z</dcterms:modified>
</cp:coreProperties>
</file>